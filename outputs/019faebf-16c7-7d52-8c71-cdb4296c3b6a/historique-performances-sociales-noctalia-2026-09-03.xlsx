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b7f2f5703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8528c2e4910049c2"/>
    <x:sheet xmlns:r="http://schemas.openxmlformats.org/officeDocument/2006/relationships" name="Horaires" sheetId="2" r:id="R6ba67648af4a40ed"/>
    <x:sheet xmlns:r="http://schemas.openxmlformats.org/officeDocument/2006/relationships" name="Historique" sheetId="3" r:id="R65e30aa7efe648e2"/>
    <x:sheet xmlns:r="http://schemas.openxmlformats.org/officeDocument/2006/relationships" name="Sources et définitions" sheetId="4" r:id="Ra5dfe043d58e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"/>
  </x:numFmts>
  <x:fonts count="4">
    <x:font>
      <x:sz val="11"/>
      <x:name val="Carlito"/>
    </x:font>
    <x:font>
      <x:b/>
      <x:sz val="18"/>
      <x:color rgb="FF17151E"/>
      <x:name val="Carlito"/>
    </x:font>
    <x:font>
      <x:i/>
      <x:sz val="11"/>
      <x:color rgb="FF5F6368"/>
      <x:name val="Carlito"/>
    </x:font>
    <x:font>
      <x:b/>
      <x:sz val="11"/>
      <x:color rgb="FF17151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8E7"/>
      </x:patternFill>
    </x:fill>
    <x:fill>
      <x:patternFill patternType="solid">
        <x:fgColor rgb="FFF1F3F4"/>
      </x:patternFill>
    </x:fill>
    <x:fill>
      <x:patternFill patternType="solid">
        <x:fgColor rgb="FFFAFAFA"/>
      </x:patternFill>
    </x:fill>
  </x:fills>
  <x:borders count="8">
    <x:border/>
    <x:border>
      <x:left style="thin">
        <x:color rgb="FFDADCE0"/>
      </x:left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bottom style="thin">
        <x:color rgb="FFECEFF1"/>
      </x:bottom>
    </x:border>
    <x:border>
      <x:top style="thin">
        <x:color rgb="FFECEFF1"/>
      </x:top>
      <x:bottom style="thin">
        <x:color rgb="FFECEFF1"/>
      </x:bottom>
    </x:border>
    <x:border>
      <x:top style="thin">
        <x:color rgb="FFECEFF1"/>
      </x:top>
    </x:border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202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1" fontId="0" fillId="0" borderId="4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3c2b823f74376" /><Relationship Type="http://schemas.openxmlformats.org/officeDocument/2006/relationships/theme" Target="/xl/theme/theme1.xml" Id="R3ff13b0196f64333" /><Relationship Type="http://schemas.openxmlformats.org/officeDocument/2006/relationships/sharedStrings" Target="/xl/sharedStrings.xml" Id="Re60c99d94eca4946" /><Relationship Type="http://schemas.openxmlformats.org/officeDocument/2006/relationships/worksheet" Target="/xl/worksheets/sheet1.xml" Id="R8528c2e4910049c2" /><Relationship Type="http://schemas.openxmlformats.org/officeDocument/2006/relationships/worksheet" Target="/xl/worksheets/sheet2.xml" Id="R6ba67648af4a40ed" /><Relationship Type="http://schemas.openxmlformats.org/officeDocument/2006/relationships/worksheet" Target="/xl/worksheets/sheet3.xml" Id="R65e30aa7efe648e2" /><Relationship Type="http://schemas.openxmlformats.org/officeDocument/2006/relationships/worksheet" Target="/xl/worksheets/sheet4.xml" Id="Ra5dfe043d58e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2.779999732971191" hidden="0" customWidth="1"/>
    <x:col min="3" max="3" width="10.5600004196167" hidden="0" customWidth="1"/>
    <x:col min="4" max="4" width="12.220000267028809" hidden="0" customWidth="1"/>
    <x:col min="5" max="5" width="33.33000183105469" hidden="0" customWidth="1"/>
    <x:col min="6" max="6" width="32.220001220703125" hidden="0" customWidth="1"/>
    <x:col min="7" max="7" width="34.439998626708984" hidden="0" customWidth="1"/>
    <x:col min="8" max="8" width="12.220000267028809" hidden="0" customWidth="1"/>
    <x:col min="9" max="9" width="12.779999732971191" hidden="0" customWidth="1"/>
    <x:col min="10" max="10" width="33.33000183105469" hidden="0" customWidth="1"/>
  </x:cols>
  <x:sheetData>
    <x:row r="1" ht="25.5" customHeight="1">
      <x:c r="A1" s="2" t="str">
        <x:v>Noctalia — synthèse par réseau</x:v>
      </x:c>
      <x:c r="B1" s="2" t="str">
        <x:v>Noctalia — synthèse par réseau</x:v>
      </x:c>
      <x:c r="C1" s="2" t="str">
        <x:v>Noctalia — synthèse par réseau</x:v>
      </x:c>
      <x:c r="D1" s="2" t="str">
        <x:v>Noctalia — synthèse par réseau</x:v>
      </x:c>
      <x:c r="E1" s="2" t="str">
        <x:v>Noctalia — synthèse par réseau</x:v>
      </x:c>
      <x:c r="F1" s="2" t="str">
        <x:v>Noctalia — synthèse par réseau</x:v>
      </x:c>
      <x:c r="G1" s="2" t="str">
        <x:v>Noctalia — synthèse par réseau</x:v>
      </x:c>
      <x:c r="H1" s="2" t="str">
        <x:v>Noctalia — synthèse par réseau</x:v>
      </x:c>
      <x:c r="I1" s="2" t="str">
        <x:v>Noctalia — synthèse par réseau</x:v>
      </x:c>
      <x:c r="J1" s="2" t="str">
        <x:v>Noctalia — synthèse par réseau</x:v>
      </x:c>
    </x:row>
    <x:row r="2">
      <x:c r="A2" s="5" t="str">
        <x:v>Chaque réseau conserve sa propre définition de portée. Les vues Facebook ne sont pas additionnées aux impressions Pinterest ni aux vues des autres plateformes.</x:v>
      </x:c>
      <x:c r="B2" s="5" t="str">
        <x:v>Chaque réseau conserve sa propre définition de portée. Les vues Facebook ne sont pas additionnées aux impressions Pinterest ni aux vues des autres plateformes.</x:v>
      </x:c>
      <x:c r="C2" s="5" t="str">
        <x:v>Chaque réseau conserve sa propre définition de portée. Les vues Facebook ne sont pas additionnées aux impressions Pinterest ni aux vues des autres plateformes.</x:v>
      </x:c>
      <x:c r="D2" s="5" t="str">
        <x:v>Chaque réseau conserve sa propre définition de portée. Les vues Facebook ne sont pas additionnées aux impressions Pinterest ni aux vues des autres plateformes.</x:v>
      </x:c>
      <x:c r="E2" s="5" t="str">
        <x:v>Chaque réseau conserve sa propre définition de portée. Les vues Facebook ne sont pas additionnées aux impressions Pinterest ni aux vues des autres plateformes.</x:v>
      </x:c>
      <x:c r="F2" s="5" t="str">
        <x:v>Chaque réseau conserve sa propre définition de portée. Les vues Facebook ne sont pas additionnées aux impressions Pinterest ni aux vues des autres plateformes.</x:v>
      </x:c>
      <x:c r="G2" s="5" t="str">
        <x:v>Chaque réseau conserve sa propre définition de portée. Les vues Facebook ne sont pas additionnées aux impressions Pinterest ni aux vues des autres plateformes.</x:v>
      </x:c>
      <x:c r="H2" s="5" t="str">
        <x:v>Chaque réseau conserve sa propre définition de portée. Les vues Facebook ne sont pas additionnées aux impressions Pinterest ni aux vues des autres plateformes.</x:v>
      </x:c>
      <x:c r="I2" s="5" t="str">
        <x:v>Chaque réseau conserve sa propre définition de portée. Les vues Facebook ne sont pas additionnées aux impressions Pinterest ni aux vues des autres plateformes.</x:v>
      </x:c>
      <x:c r="J2" s="5" t="str">
        <x:v>Chaque réseau conserve sa propre définition de portée. Les vues Facebook ne sont pas additionnées aux impressions Pinterest ni aux vues des autres plateformes.</x:v>
      </x:c>
    </x:row>
    <x:row r="4" ht="25.5" customHeight="1">
      <x:c r="A4" s="10" t="str">
        <x:v>Plateforme</x:v>
      </x:c>
      <x:c r="B4" s="10" t="str">
        <x:v>Lignes documentées</x:v>
      </x:c>
      <x:c r="C4" s="10" t="str">
        <x:v>Métrique</x:v>
      </x:c>
      <x:c r="D4" s="10" t="str">
        <x:v>Pic observé</x:v>
      </x:c>
      <x:c r="E4" s="10" t="str">
        <x:v>Nom de la vidéo</x:v>
      </x:c>
      <x:c r="F4" s="10" t="str">
        <x:v>Fichier vidéo</x:v>
      </x:c>
      <x:c r="G4" s="10" t="str">
        <x:v>Vidéo publique</x:v>
      </x:c>
      <x:c r="H4" s="10" t="str">
        <x:v>Likes / réactions</x:v>
      </x:c>
      <x:c r="I4" s="10" t="str">
        <x:v>Partages / reposts</x:v>
      </x:c>
      <x:c r="J4" s="10" t="str">
        <x:v>Périmètre</x:v>
      </x:c>
    </x:row>
    <x:row r="5">
      <x:c r="A5" s="38" t="str">
        <x:v>TikTok</x:v>
      </x:c>
      <x:c r="B5" s="41" t="n">
        <x:f>COUNTIF('Historique'!$A$5:$A$200,A5)</x:f>
        <x:v>20</x:v>
      </x:c>
      <x:c r="C5" s="38" t="str">
        <x:v>Vues</x:v>
      </x:c>
      <x:c r="D5" s="41" t="n">
        <x:f>MAXIFS('Historique'!$J$5:$J$200,'Historique'!$A$5:$A$200,A5)</x:f>
        <x:v>989</x:v>
      </x:c>
      <x:c r="E5" s="41" t="str">
        <x:f>INDEX('Historique'!$F$5:$F$200,MATCH(A5&amp;"|"&amp;TEXT(D5,"0"),'Historique'!$R$5:$R$200,0))</x:f>
        <x:v>Lancement Noctalia</x:v>
      </x:c>
      <x:c r="F5" s="41" t="str">
        <x:f>INDEX('Historique'!$G$5:$G$200,MATCH(A5&amp;"|"&amp;TEXT(D5,"0"),'Historique'!$R$5:$R$200,0))</x:f>
      </x:c>
      <x:c r="G5" s="41" t="str">
        <x:f>INDEX('Historique'!$H$5:$H$200,MATCH(A5&amp;"|"&amp;TEXT(D5,"0"),'Historique'!$R$5:$R$200,0))</x:f>
        <x:v>https://www.tiktok.com/@noctaliadreams/video/7588263110427905302</x:v>
      </x:c>
      <x:c r="H5" s="41" t="n">
        <x:f>INDEX('Historique'!$K$5:$K$200,MATCH(A5&amp;"|"&amp;TEXT(D5,"0"),'Historique'!$R$5:$R$200,0))</x:f>
        <x:v>2</x:v>
      </x:c>
      <x:c r="I5" s="41" t="str">
        <x:f>INDEX('Historique'!$L$5:$L$200,MATCH(A5&amp;"|"&amp;TEXT(D5,"0"),'Historique'!$R$5:$R$200,0))</x:f>
      </x:c>
      <x:c r="J5" s="38" t="str">
        <x:v>Extrait TikTok Studio; historique partiel</x:v>
      </x:c>
    </x:row>
    <x:row r="6">
      <x:c r="A6" s="42" t="str">
        <x:v>Instagram</x:v>
      </x:c>
      <x:c r="B6" s="45" t="n">
        <x:f>COUNTIF('Historique'!$A$5:$A$200,A6)</x:f>
        <x:v>2</x:v>
      </x:c>
      <x:c r="C6" s="42" t="str">
        <x:v>Vues</x:v>
      </x:c>
      <x:c r="D6" s="45" t="n">
        <x:f>MAXIFS('Historique'!$J$5:$J$200,'Historique'!$A$5:$A$200,A6)</x:f>
        <x:v>2474</x:v>
      </x:c>
      <x:c r="E6" s="45" t="str">
        <x:f>INDEX('Historique'!$F$5:$F$200,MATCH(A6&amp;"|"&amp;TEXT(D6,"0"),'Historique'!$R$5:$R$200,0))</x:f>
        <x:v>A memory circles you like smoke. Would you follow it?</x:v>
      </x:c>
      <x:c r="F6" s="45" t="str">
        <x:f>INDEX('Historique'!$G$5:$G$200,MATCH(A6&amp;"|"&amp;TEXT(D6,"0"),'Historique'!$R$5:$R$200,0))</x:f>
        <x:v>NOC_REVEIL_S06_VIDEO_1080p_v01.mp4</x:v>
      </x:c>
      <x:c r="G6" s="45" t="str">
        <x:f>INDEX('Historique'!$H$5:$H$200,MATCH(A6&amp;"|"&amp;TEXT(D6,"0"),'Historique'!$R$5:$R$200,0))</x:f>
        <x:v>https://www.instagram.com/noctaliadreams/reel/DcZD6VgpUGp/</x:v>
      </x:c>
      <x:c r="H6" s="45" t="n">
        <x:f>INDEX('Historique'!$K$5:$K$200,MATCH(A6&amp;"|"&amp;TEXT(D6,"0"),'Historique'!$R$5:$R$200,0))</x:f>
        <x:v>18</x:v>
      </x:c>
      <x:c r="I6" s="45" t="n">
        <x:f>INDEX('Historique'!$L$5:$L$200,MATCH(A6&amp;"|"&amp;TEXT(D6,"0"),'Historique'!$R$5:$R$200,0))</x:f>
        <x:v>0</x:v>
      </x:c>
      <x:c r="J6" s="42" t="str">
        <x:v>Top contenus Instagram sur 30 jours</x:v>
      </x:c>
    </x:row>
    <x:row r="7">
      <x:c r="A7" s="42" t="str">
        <x:v>X</x:v>
      </x:c>
      <x:c r="B7" s="45" t="n">
        <x:f>COUNTIF('Historique'!$A$5:$A$200,A7)</x:f>
        <x:v>4</x:v>
      </x:c>
      <x:c r="C7" s="42" t="str">
        <x:v>Vues</x:v>
      </x:c>
      <x:c r="D7" s="45" t="n">
        <x:f>MAXIFS('Historique'!$J$5:$J$200,'Historique'!$A$5:$A$200,A7)</x:f>
        <x:v>21</x:v>
      </x:c>
      <x:c r="E7" s="45" t="str">
        <x:f>INDEX('Historique'!$F$5:$F$200,MATCH(A7&amp;"|"&amp;TEXT(D7,"0"),'Historique'!$R$5:$R$200,0))</x:f>
        <x:v>Escalier impossible</x:v>
      </x:c>
      <x:c r="F7" s="45" t="str">
        <x:f>INDEX('Historique'!$G$5:$G$200,MATCH(A7&amp;"|"&amp;TEXT(D7,"0"),'Historique'!$R$5:$R$200,0))</x:f>
        <x:v>01-escalier.mp4</x:v>
      </x:c>
      <x:c r="G7" s="45" t="str">
        <x:f>INDEX('Historique'!$H$5:$H$200,MATCH(A7&amp;"|"&amp;TEXT(D7,"0"),'Historique'!$R$5:$R$200,0))</x:f>
        <x:v>https://x.com/NoctaliaDreams/status/2083255119722815645</x:v>
      </x:c>
      <x:c r="H7" s="45" t="n">
        <x:f>INDEX('Historique'!$K$5:$K$200,MATCH(A7&amp;"|"&amp;TEXT(D7,"0"),'Historique'!$R$5:$R$200,0))</x:f>
        <x:v>0</x:v>
      </x:c>
      <x:c r="I7" s="45" t="n">
        <x:f>INDEX('Historique'!$L$5:$L$200,MATCH(A7&amp;"|"&amp;TEXT(D7,"0"),'Historique'!$R$5:$R$200,0))</x:f>
        <x:v>0</x:v>
      </x:c>
      <x:c r="J7" s="42" t="str">
        <x:v>Recherche publique partielle, sans analytics propriétaire</x:v>
      </x:c>
    </x:row>
    <x:row r="8">
      <x:c r="A8" s="42" t="str">
        <x:v>YouTube</x:v>
      </x:c>
      <x:c r="B8" s="45" t="n">
        <x:f>COUNTIF('Historique'!$A$5:$A$200,A8)</x:f>
        <x:v>2</x:v>
      </x:c>
      <x:c r="C8" s="42" t="str">
        <x:v>Vues</x:v>
      </x:c>
      <x:c r="D8" s="45" t="n">
        <x:f>MAXIFS('Historique'!$J$5:$J$200,'Historique'!$A$5:$A$200,A8)</x:f>
        <x:v>622</x:v>
      </x:c>
      <x:c r="E8" s="45" t="str">
        <x:f>INDEX('Historique'!$F$5:$F$200,MATCH(A8&amp;"|"&amp;TEXT(D8,"0"),'Historique'!$R$5:$R$200,0))</x:f>
        <x:v>How to Remember Three Dream Details #Shorts</x:v>
      </x:c>
      <x:c r="F8" s="45" t="str">
        <x:f>INDEX('Historique'!$G$5:$G$200,MATCH(A8&amp;"|"&amp;TEXT(D8,"0"),'Historique'!$R$5:$R$200,0))</x:f>
        <x:v>03-ville-engloutie-eruption.mp4</x:v>
      </x:c>
      <x:c r="G8" s="45" t="str">
        <x:f>INDEX('Historique'!$H$5:$H$200,MATCH(A8&amp;"|"&amp;TEXT(D8,"0"),'Historique'!$R$5:$R$200,0))</x:f>
        <x:v>https://youtube.com/shorts/RNY9UIozIKE</x:v>
      </x:c>
      <x:c r="H8" s="45" t="str">
        <x:f>INDEX('Historique'!$K$5:$K$200,MATCH(A8&amp;"|"&amp;TEXT(D8,"0"),'Historique'!$R$5:$R$200,0))</x:f>
      </x:c>
      <x:c r="I8" s="45" t="str">
        <x:f>INDEX('Historique'!$L$5:$L$200,MATCH(A8&amp;"|"&amp;TEXT(D8,"0"),'Historique'!$R$5:$R$200,0))</x:f>
      </x:c>
      <x:c r="J8" s="42" t="str">
        <x:v>Top Shorts visibles dans YouTube Studio</x:v>
      </x:c>
    </x:row>
    <x:row r="9">
      <x:c r="A9" s="42" t="str">
        <x:v>Facebook</x:v>
      </x:c>
      <x:c r="B9" s="45" t="n">
        <x:f>COUNTIF('Historique'!$A$5:$A$200,A9)</x:f>
        <x:v>19</x:v>
      </x:c>
      <x:c r="C9" s="42" t="str">
        <x:v>Vues</x:v>
      </x:c>
      <x:c r="D9" s="45" t="n">
        <x:f>MAXIFS('Historique'!$J$5:$J$200,'Historique'!$A$5:$A$200,A9)</x:f>
        <x:v>51308</x:v>
      </x:c>
      <x:c r="E9" s="45" t="str">
        <x:f>INDEX('Historique'!$F$5:$F$200,MATCH(A9&amp;"|"&amp;TEXT(D9,"0"),'Historique'!$R$5:$R$200,0))</x:f>
        <x:v>Do not force an interpretation on the first morning</x:v>
      </x:c>
      <x:c r="F9" s="45" t="str">
        <x:f>INDEX('Historique'!$G$5:$G$200,MATCH(A9&amp;"|"&amp;TEXT(D9,"0"),'Historique'!$R$5:$R$200,0))</x:f>
        <x:v>NIGHT_LUNARPUNK_SILVER_LUNAR_02.mp4</x:v>
      </x:c>
      <x:c r="G9" s="45" t="str">
        <x:f>INDEX('Historique'!$H$5:$H$200,MATCH(A9&amp;"|"&amp;TEXT(D9,"0"),'Historique'!$R$5:$R$200,0))</x:f>
        <x:v>https://www.facebook.com/reel/4662153027439937</x:v>
      </x:c>
      <x:c r="H9" s="45" t="n">
        <x:f>INDEX('Historique'!$K$5:$K$200,MATCH(A9&amp;"|"&amp;TEXT(D9,"0"),'Historique'!$R$5:$R$200,0))</x:f>
        <x:v>661</x:v>
      </x:c>
      <x:c r="I9" s="45" t="n">
        <x:f>INDEX('Historique'!$L$5:$L$200,MATCH(A9&amp;"|"&amp;TEXT(D9,"0"),'Historique'!$R$5:$R$200,0))</x:f>
        <x:v>2</x:v>
      </x:c>
      <x:c r="J9" s="42" t="str">
        <x:v>Meta Business Suite, fenêtre 28 jours</x:v>
      </x:c>
    </x:row>
    <x:row r="10">
      <x:c r="A10" s="46" t="str">
        <x:v>Pinterest</x:v>
      </x:c>
      <x:c r="B10" s="49" t="n">
        <x:f>COUNTIF('Historique'!$A$5:$A$200,A10)</x:f>
        <x:v>7</x:v>
      </x:c>
      <x:c r="C10" s="46" t="str">
        <x:v>Impressions</x:v>
      </x:c>
      <x:c r="D10" s="49" t="n">
        <x:f>MAXIFS('Historique'!$J$5:$J$200,'Historique'!$A$5:$A$200,A10)</x:f>
        <x:v>148</x:v>
      </x:c>
      <x:c r="E10" s="49" t="str">
        <x:f>INDEX('Historique'!$F$5:$F$200,MATCH(A10&amp;"|"&amp;TEXT(D10,"0"),'Historique'!$R$5:$R$200,0))</x:f>
        <x:v>Surreal Dreamscape: A Bioluminescent Forest</x:v>
      </x:c>
      <x:c r="F10" s="49" t="str">
        <x:f>INDEX('Historique'!$G$5:$G$200,MATCH(A10&amp;"|"&amp;TEXT(D10,"0"),'Historique'!$R$5:$R$200,0))</x:f>
        <x:v>05-foret-bioluminescente-embrasement.mp4</x:v>
      </x:c>
      <x:c r="G10" s="49" t="str">
        <x:f>INDEX('Historique'!$H$5:$H$200,MATCH(A10&amp;"|"&amp;TEXT(D10,"0"),'Historique'!$R$5:$R$200,0))</x:f>
        <x:v>https://www.pinterest.com/pin/1127940669217848264/</x:v>
      </x:c>
      <x:c r="H10" s="49" t="str">
        <x:f>INDEX('Historique'!$K$5:$K$200,MATCH(A10&amp;"|"&amp;TEXT(D10,"0"),'Historique'!$R$5:$R$200,0))</x:f>
      </x:c>
      <x:c r="I10" s="49" t="str">
        <x:f>INDEX('Historique'!$L$5:$L$200,MATCH(A10&amp;"|"&amp;TEXT(D10,"0"),'Historique'!$R$5:$R$200,0))</x:f>
      </x:c>
      <x:c r="J10" s="46" t="str">
        <x:v>Pinterest Analytics, fenêtre 30 jours</x:v>
      </x:c>
    </x:row>
  </x:sheetData>
  <x:mergeCells>
    <x:mergeCell ref="A1:J1"/>
    <x:mergeCell ref="A2:J2"/>
  </x:mergeCells>
  <x:conditionalFormatting sqref="D5:D10">
    <x:cfRule type="dataBar" priority="1">
      <x:dataBar>
        <x:cfvo type="min"/>
        <x:cfvo type="max"/>
        <x:color rgb="FFB89553"/>
      </x:dataBar>
      <x:extLst>
        <x:ext xmlns:x14="http://schemas.microsoft.com/office/spreadsheetml/2009/9/main" uri="{B025F937-C7B1-47D3-B67F-A62EFF666E3E}">
          <x14:id>{D9C29B86-FB61-1FA0-2F2F-59ADEEF94050}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9C29B86-FB61-1FA0-2F2F-59ADEEF94050}">
            <x14:dataBar gradient="1">
              <x14:cfvo type="min"/>
              <x14:cfvo type="max"/>
              <x14:fillColor rgb="FFB89553"/>
            </x14:dataBar>
          </x14:cfRule>
          <xm:sqref>D5:D10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8.890000343322754" hidden="0" customWidth="1"/>
    <x:col min="3" max="3" width="10.5600004196167" hidden="0" customWidth="1"/>
    <x:col min="4" max="4" width="15.5600004196167" hidden="0" customWidth="1"/>
    <x:col min="5" max="5" width="13.329999923706055" hidden="0" customWidth="1"/>
    <x:col min="6" max="6" width="17.780000686645508" hidden="0" customWidth="1"/>
    <x:col min="7" max="7" width="18.329999923706055" hidden="0" customWidth="1"/>
    <x:col min="8" max="8" width="20" hidden="0" customWidth="1"/>
  </x:cols>
  <x:sheetData>
    <x:row r="1" ht="25.5" customHeight="1">
      <x:c r="A1" s="2" t="str">
        <x:v>Analyse des créneaux — réseaux principaux</x:v>
      </x:c>
      <x:c r="B1" s="2" t="str">
        <x:v>Analyse des créneaux — réseaux principaux</x:v>
      </x:c>
      <x:c r="C1" s="2" t="str">
        <x:v>Analyse des créneaux — réseaux principaux</x:v>
      </x:c>
      <x:c r="D1" s="2" t="str">
        <x:v>Analyse des créneaux — réseaux principaux</x:v>
      </x:c>
      <x:c r="E1" s="2" t="str">
        <x:v>Analyse des créneaux — réseaux principaux</x:v>
      </x:c>
      <x:c r="F1" s="2" t="str">
        <x:v>Analyse des créneaux — réseaux principaux</x:v>
      </x:c>
      <x:c r="G1" s="2" t="str">
        <x:v>Analyse des créneaux — réseaux principaux</x:v>
      </x:c>
      <x:c r="H1" s="2" t="str">
        <x:v>Analyse des créneaux — réseaux principaux</x:v>
      </x:c>
    </x:row>
    <x:row r="2">
      <x:c r="A2" s="5" t="str">
        <x:v>Moyennes calculées uniquement sur les lignes documentées. Elles servent d'indice de décision, pas de preuve causale; les tailles d'échantillon diffèrent selon le réseau.</x:v>
      </x:c>
      <x:c r="B2" s="5" t="str">
        <x:v>Moyennes calculées uniquement sur les lignes documentées. Elles servent d'indice de décision, pas de preuve causale; les tailles d'échantillon diffèrent selon le réseau.</x:v>
      </x:c>
      <x:c r="C2" s="5" t="str">
        <x:v>Moyennes calculées uniquement sur les lignes documentées. Elles servent d'indice de décision, pas de preuve causale; les tailles d'échantillon diffèrent selon le réseau.</x:v>
      </x:c>
      <x:c r="D2" s="5" t="str">
        <x:v>Moyennes calculées uniquement sur les lignes documentées. Elles servent d'indice de décision, pas de preuve causale; les tailles d'échantillon diffèrent selon le réseau.</x:v>
      </x:c>
      <x:c r="E2" s="5" t="str">
        <x:v>Moyennes calculées uniquement sur les lignes documentées. Elles servent d'indice de décision, pas de preuve causale; les tailles d'échantillon diffèrent selon le réseau.</x:v>
      </x:c>
      <x:c r="F2" s="5" t="str">
        <x:v>Moyennes calculées uniquement sur les lignes documentées. Elles servent d'indice de décision, pas de preuve causale; les tailles d'échantillon diffèrent selon le réseau.</x:v>
      </x:c>
      <x:c r="G2" s="5" t="str">
        <x:v>Moyennes calculées uniquement sur les lignes documentées. Elles servent d'indice de décision, pas de preuve causale; les tailles d'échantillon diffèrent selon le réseau.</x:v>
      </x:c>
      <x:c r="H2" s="5" t="str">
        <x:v>Moyennes calculées uniquement sur les lignes documentées. Elles servent d'indice de décision, pas de preuve causale; les tailles d'échantillon diffèrent selon le réseau.</x:v>
      </x:c>
    </x:row>
    <x:row r="4" ht="25.5" customHeight="1">
      <x:c r="A4" s="10" t="str">
        <x:v>Plateforme</x:v>
      </x:c>
      <x:c r="B4" s="10" t="str">
        <x:v>Créneau</x:v>
      </x:c>
      <x:c r="C4" s="10" t="str">
        <x:v>Heure Paris</x:v>
      </x:c>
      <x:c r="D4" s="10" t="str">
        <x:v>Publications mesurées</x:v>
      </x:c>
      <x:c r="E4" s="10" t="str">
        <x:v>Moyenne vues</x:v>
      </x:c>
      <x:c r="F4" s="10" t="str">
        <x:v>Moyenne likes / réactions</x:v>
      </x:c>
      <x:c r="G4" s="10" t="str">
        <x:v>Moyenne partages / reposts</x:v>
      </x:c>
      <x:c r="H4" s="10" t="str">
        <x:v>Lecture</x:v>
      </x:c>
    </x:row>
    <x:row r="5">
      <x:c r="A5" s="38" t="str">
        <x:v>TikTok</x:v>
      </x:c>
      <x:c r="B5" s="38" t="str">
        <x:v>C1</x:v>
      </x:c>
      <x:c r="C5" s="38" t="str">
        <x:v>15:30</x:v>
      </x:c>
      <x:c r="D5" s="41" t="n">
        <x:f>COUNTIFS('Historique'!$A$5:$A$200,A5,'Historique'!$D$5:$D$200,B5)</x:f>
        <x:v>7</x:v>
      </x:c>
      <x:c r="E5" s="41" t="n">
        <x:f>IF(D5=0,"",SUMIFS('Historique'!$J$5:$J$200,'Historique'!$A$5:$A$200,A5,'Historique'!$D$5:$D$200,B5)/D5)</x:f>
        <x:v>430.14285714285717</x:v>
      </x:c>
      <x:c r="F5" s="41" t="n">
        <x:f>IF(COUNTIFS('Historique'!$A$5:$A$200,A5,'Historique'!$D$5:$D$200,B5,'Historique'!$K$5:$K$200,"&lt;&gt;")=0,"",SUMIFS('Historique'!$K$5:$K$200,'Historique'!$A$5:$A$200,A5,'Historique'!$D$5:$D$200,B5)/COUNTIFS('Historique'!$A$5:$A$200,A5,'Historique'!$D$5:$D$200,B5,'Historique'!$K$5:$K$200,"&lt;&gt;"))</x:f>
        <x:v>9.714285714285714</x:v>
      </x:c>
      <x:c r="G5" s="41" t="str">
        <x:f>IF(COUNTIFS('Historique'!$A$5:$A$200,A5,'Historique'!$D$5:$D$200,B5,'Historique'!$L$5:$L$200,"&lt;&gt;")=0,"",SUMIFS('Historique'!$L$5:$L$200,'Historique'!$A$5:$A$200,A5,'Historique'!$D$5:$D$200,B5)/COUNTIFS('Historique'!$A$5:$A$200,A5,'Historique'!$D$5:$D$200,B5,'Historique'!$L$5:$L$200,"&lt;&gt;"))</x:f>
      </x:c>
      <x:c r="H5" s="38" t="str">
        <x:f>IF(D5=0,"Pas de données",IF(D5&lt;3,"Échantillon très faible","Échantillon partiel"))</x:f>
        <x:v>Échantillon partiel</x:v>
      </x:c>
    </x:row>
    <x:row r="6">
      <x:c r="A6" s="42" t="str">
        <x:v>TikTok</x:v>
      </x:c>
      <x:c r="B6" s="42" t="str">
        <x:v>C2</x:v>
      </x:c>
      <x:c r="C6" s="42" t="str">
        <x:v>19:30</x:v>
      </x:c>
      <x:c r="D6" s="45" t="n">
        <x:f>COUNTIFS('Historique'!$A$5:$A$200,A6,'Historique'!$D$5:$D$200,B6)</x:f>
        <x:v>6</x:v>
      </x:c>
      <x:c r="E6" s="45" t="n">
        <x:f>IF(D6=0,"",SUMIFS('Historique'!$J$5:$J$200,'Historique'!$A$5:$A$200,A6,'Historique'!$D$5:$D$200,B6)/D6)</x:f>
        <x:v>667</x:v>
      </x:c>
      <x:c r="F6" s="45" t="n">
        <x:f>IF(COUNTIFS('Historique'!$A$5:$A$200,A6,'Historique'!$D$5:$D$200,B6,'Historique'!$K$5:$K$200,"&lt;&gt;")=0,"",SUMIFS('Historique'!$K$5:$K$200,'Historique'!$A$5:$A$200,A6,'Historique'!$D$5:$D$200,B6)/COUNTIFS('Historique'!$A$5:$A$200,A6,'Historique'!$D$5:$D$200,B6,'Historique'!$K$5:$K$200,"&lt;&gt;"))</x:f>
        <x:v>19.666666666666668</x:v>
      </x:c>
      <x:c r="G6" s="45" t="str">
        <x:f>IF(COUNTIFS('Historique'!$A$5:$A$200,A6,'Historique'!$D$5:$D$200,B6,'Historique'!$L$5:$L$200,"&lt;&gt;")=0,"",SUMIFS('Historique'!$L$5:$L$200,'Historique'!$A$5:$A$200,A6,'Historique'!$D$5:$D$200,B6)/COUNTIFS('Historique'!$A$5:$A$200,A6,'Historique'!$D$5:$D$200,B6,'Historique'!$L$5:$L$200,"&lt;&gt;"))</x:f>
      </x:c>
      <x:c r="H6" s="42" t="str">
        <x:f>IF(D6=0,"Pas de données",IF(D6&lt;3,"Échantillon très faible","Échantillon partiel"))</x:f>
        <x:v>Échantillon partiel</x:v>
      </x:c>
    </x:row>
    <x:row r="7">
      <x:c r="A7" s="42" t="str">
        <x:v>TikTok</x:v>
      </x:c>
      <x:c r="B7" s="42" t="str">
        <x:v>C3</x:v>
      </x:c>
      <x:c r="C7" s="42" t="str">
        <x:v>22:30</x:v>
      </x:c>
      <x:c r="D7" s="45" t="n">
        <x:f>COUNTIFS('Historique'!$A$5:$A$200,A7,'Historique'!$D$5:$D$200,B7)</x:f>
        <x:v>5</x:v>
      </x:c>
      <x:c r="E7" s="45" t="n">
        <x:f>IF(D7=0,"",SUMIFS('Historique'!$J$5:$J$200,'Historique'!$A$5:$A$200,A7,'Historique'!$D$5:$D$200,B7)/D7)</x:f>
        <x:v>317.6</x:v>
      </x:c>
      <x:c r="F7" s="45" t="n">
        <x:f>IF(COUNTIFS('Historique'!$A$5:$A$200,A7,'Historique'!$D$5:$D$200,B7,'Historique'!$K$5:$K$200,"&lt;&gt;")=0,"",SUMIFS('Historique'!$K$5:$K$200,'Historique'!$A$5:$A$200,A7,'Historique'!$D$5:$D$200,B7)/COUNTIFS('Historique'!$A$5:$A$200,A7,'Historique'!$D$5:$D$200,B7,'Historique'!$K$5:$K$200,"&lt;&gt;"))</x:f>
        <x:v>8</x:v>
      </x:c>
      <x:c r="G7" s="45" t="str">
        <x:f>IF(COUNTIFS('Historique'!$A$5:$A$200,A7,'Historique'!$D$5:$D$200,B7,'Historique'!$L$5:$L$200,"&lt;&gt;")=0,"",SUMIFS('Historique'!$L$5:$L$200,'Historique'!$A$5:$A$200,A7,'Historique'!$D$5:$D$200,B7)/COUNTIFS('Historique'!$A$5:$A$200,A7,'Historique'!$D$5:$D$200,B7,'Historique'!$L$5:$L$200,"&lt;&gt;"))</x:f>
      </x:c>
      <x:c r="H7" s="42" t="str">
        <x:f>IF(D7=0,"Pas de données",IF(D7&lt;3,"Échantillon très faible","Échantillon partiel"))</x:f>
        <x:v>Échantillon partiel</x:v>
      </x:c>
    </x:row>
    <x:row r="8">
      <x:c r="A8" s="42" t="str">
        <x:v>Instagram</x:v>
      </x:c>
      <x:c r="B8" s="42" t="str">
        <x:v>C1</x:v>
      </x:c>
      <x:c r="C8" s="42" t="str">
        <x:v>15:45</x:v>
      </x:c>
      <x:c r="D8" s="45" t="n">
        <x:f>COUNTIFS('Historique'!$A$5:$A$200,A8,'Historique'!$D$5:$D$200,B8)</x:f>
        <x:v>0</x:v>
      </x:c>
      <x:c r="E8" s="45" t="str">
        <x:f>IF(D8=0,"",SUMIFS('Historique'!$J$5:$J$200,'Historique'!$A$5:$A$200,A8,'Historique'!$D$5:$D$200,B8)/D8)</x:f>
      </x:c>
      <x:c r="F8" s="45" t="str">
        <x:f>IF(COUNTIFS('Historique'!$A$5:$A$200,A8,'Historique'!$D$5:$D$200,B8,'Historique'!$K$5:$K$200,"&lt;&gt;")=0,"",SUMIFS('Historique'!$K$5:$K$200,'Historique'!$A$5:$A$200,A8,'Historique'!$D$5:$D$200,B8)/COUNTIFS('Historique'!$A$5:$A$200,A8,'Historique'!$D$5:$D$200,B8,'Historique'!$K$5:$K$200,"&lt;&gt;"))</x:f>
      </x:c>
      <x:c r="G8" s="45" t="str">
        <x:f>IF(COUNTIFS('Historique'!$A$5:$A$200,A8,'Historique'!$D$5:$D$200,B8,'Historique'!$L$5:$L$200,"&lt;&gt;")=0,"",SUMIFS('Historique'!$L$5:$L$200,'Historique'!$A$5:$A$200,A8,'Historique'!$D$5:$D$200,B8)/COUNTIFS('Historique'!$A$5:$A$200,A8,'Historique'!$D$5:$D$200,B8,'Historique'!$L$5:$L$200,"&lt;&gt;"))</x:f>
      </x:c>
      <x:c r="H8" s="42" t="str">
        <x:f>IF(D8=0,"Pas de données",IF(D8&lt;3,"Échantillon très faible","Échantillon partiel"))</x:f>
        <x:v>Pas de données</x:v>
      </x:c>
    </x:row>
    <x:row r="9">
      <x:c r="A9" s="42" t="str">
        <x:v>Instagram</x:v>
      </x:c>
      <x:c r="B9" s="42" t="str">
        <x:v>C2</x:v>
      </x:c>
      <x:c r="C9" s="42" t="str">
        <x:v>19:45</x:v>
      </x:c>
      <x:c r="D9" s="45" t="n">
        <x:f>COUNTIFS('Historique'!$A$5:$A$200,A9,'Historique'!$D$5:$D$200,B9)</x:f>
        <x:v>1</x:v>
      </x:c>
      <x:c r="E9" s="45" t="n">
        <x:f>IF(D9=0,"",SUMIFS('Historique'!$J$5:$J$200,'Historique'!$A$5:$A$200,A9,'Historique'!$D$5:$D$200,B9)/D9)</x:f>
        <x:v>2474</x:v>
      </x:c>
      <x:c r="F9" s="45" t="n">
        <x:f>IF(COUNTIFS('Historique'!$A$5:$A$200,A9,'Historique'!$D$5:$D$200,B9,'Historique'!$K$5:$K$200,"&lt;&gt;")=0,"",SUMIFS('Historique'!$K$5:$K$200,'Historique'!$A$5:$A$200,A9,'Historique'!$D$5:$D$200,B9)/COUNTIFS('Historique'!$A$5:$A$200,A9,'Historique'!$D$5:$D$200,B9,'Historique'!$K$5:$K$200,"&lt;&gt;"))</x:f>
        <x:v>18</x:v>
      </x:c>
      <x:c r="G9" s="45" t="n">
        <x:f>IF(COUNTIFS('Historique'!$A$5:$A$200,A9,'Historique'!$D$5:$D$200,B9,'Historique'!$L$5:$L$200,"&lt;&gt;")=0,"",SUMIFS('Historique'!$L$5:$L$200,'Historique'!$A$5:$A$200,A9,'Historique'!$D$5:$D$200,B9)/COUNTIFS('Historique'!$A$5:$A$200,A9,'Historique'!$D$5:$D$200,B9,'Historique'!$L$5:$L$200,"&lt;&gt;"))</x:f>
        <x:v>0</x:v>
      </x:c>
      <x:c r="H9" s="42" t="str">
        <x:f>IF(D9=0,"Pas de données",IF(D9&lt;3,"Échantillon très faible","Échantillon partiel"))</x:f>
        <x:v>Échantillon très faible</x:v>
      </x:c>
    </x:row>
    <x:row r="10">
      <x:c r="A10" s="42" t="str">
        <x:v>Instagram</x:v>
      </x:c>
      <x:c r="B10" s="42" t="str">
        <x:v>C3</x:v>
      </x:c>
      <x:c r="C10" s="42" t="str">
        <x:v>22:45</x:v>
      </x:c>
      <x:c r="D10" s="45" t="n">
        <x:f>COUNTIFS('Historique'!$A$5:$A$200,A10,'Historique'!$D$5:$D$200,B10)</x:f>
        <x:v>1</x:v>
      </x:c>
      <x:c r="E10" s="45" t="n">
        <x:f>IF(D10=0,"",SUMIFS('Historique'!$J$5:$J$200,'Historique'!$A$5:$A$200,A10,'Historique'!$D$5:$D$200,B10)/D10)</x:f>
        <x:v>1842</x:v>
      </x:c>
      <x:c r="F10" s="45" t="n">
        <x:f>IF(COUNTIFS('Historique'!$A$5:$A$200,A10,'Historique'!$D$5:$D$200,B10,'Historique'!$K$5:$K$200,"&lt;&gt;")=0,"",SUMIFS('Historique'!$K$5:$K$200,'Historique'!$A$5:$A$200,A10,'Historique'!$D$5:$D$200,B10)/COUNTIFS('Historique'!$A$5:$A$200,A10,'Historique'!$D$5:$D$200,B10,'Historique'!$K$5:$K$200,"&lt;&gt;"))</x:f>
        <x:v>22</x:v>
      </x:c>
      <x:c r="G10" s="45" t="n">
        <x:f>IF(COUNTIFS('Historique'!$A$5:$A$200,A10,'Historique'!$D$5:$D$200,B10,'Historique'!$L$5:$L$200,"&lt;&gt;")=0,"",SUMIFS('Historique'!$L$5:$L$200,'Historique'!$A$5:$A$200,A10,'Historique'!$D$5:$D$200,B10)/COUNTIFS('Historique'!$A$5:$A$200,A10,'Historique'!$D$5:$D$200,B10,'Historique'!$L$5:$L$200,"&lt;&gt;"))</x:f>
        <x:v>0</x:v>
      </x:c>
      <x:c r="H10" s="42" t="str">
        <x:f>IF(D10=0,"Pas de données",IF(D10&lt;3,"Échantillon très faible","Échantillon partiel"))</x:f>
        <x:v>Échantillon très faible</x:v>
      </x:c>
    </x:row>
    <x:row r="11">
      <x:c r="A11" s="42" t="str">
        <x:v>X</x:v>
      </x:c>
      <x:c r="B11" s="42" t="str">
        <x:v>C1</x:v>
      </x:c>
      <x:c r="C11" s="42" t="str">
        <x:v>16:15</x:v>
      </x:c>
      <x:c r="D11" s="45" t="n">
        <x:f>COUNTIFS('Historique'!$A$5:$A$200,A11,'Historique'!$D$5:$D$200,B11)</x:f>
        <x:v>2</x:v>
      </x:c>
      <x:c r="E11" s="45" t="n">
        <x:f>IF(D11=0,"",SUMIFS('Historique'!$J$5:$J$200,'Historique'!$A$5:$A$200,A11,'Historique'!$D$5:$D$200,B11)/D11)</x:f>
        <x:v>14</x:v>
      </x:c>
      <x:c r="F11" s="45" t="n">
        <x:f>IF(COUNTIFS('Historique'!$A$5:$A$200,A11,'Historique'!$D$5:$D$200,B11,'Historique'!$K$5:$K$200,"&lt;&gt;")=0,"",SUMIFS('Historique'!$K$5:$K$200,'Historique'!$A$5:$A$200,A11,'Historique'!$D$5:$D$200,B11)/COUNTIFS('Historique'!$A$5:$A$200,A11,'Historique'!$D$5:$D$200,B11,'Historique'!$K$5:$K$200,"&lt;&gt;"))</x:f>
        <x:v>1</x:v>
      </x:c>
      <x:c r="G11" s="45" t="n">
        <x:f>IF(COUNTIFS('Historique'!$A$5:$A$200,A11,'Historique'!$D$5:$D$200,B11,'Historique'!$L$5:$L$200,"&lt;&gt;")=0,"",SUMIFS('Historique'!$L$5:$L$200,'Historique'!$A$5:$A$200,A11,'Historique'!$D$5:$D$200,B11)/COUNTIFS('Historique'!$A$5:$A$200,A11,'Historique'!$D$5:$D$200,B11,'Historique'!$L$5:$L$200,"&lt;&gt;"))</x:f>
        <x:v>1</x:v>
      </x:c>
      <x:c r="H11" s="42" t="str">
        <x:f>IF(D11=0,"Pas de données",IF(D11&lt;3,"Échantillon très faible","Échantillon partiel"))</x:f>
        <x:v>Échantillon très faible</x:v>
      </x:c>
    </x:row>
    <x:row r="12">
      <x:c r="A12" s="42" t="str">
        <x:v>X</x:v>
      </x:c>
      <x:c r="B12" s="42" t="str">
        <x:v>C2</x:v>
      </x:c>
      <x:c r="C12" s="42" t="str">
        <x:v>20:15</x:v>
      </x:c>
      <x:c r="D12" s="45" t="n">
        <x:f>COUNTIFS('Historique'!$A$5:$A$200,A12,'Historique'!$D$5:$D$200,B12)</x:f>
        <x:v>2</x:v>
      </x:c>
      <x:c r="E12" s="45" t="n">
        <x:f>IF(D12=0,"",SUMIFS('Historique'!$J$5:$J$200,'Historique'!$A$5:$A$200,A12,'Historique'!$D$5:$D$200,B12)/D12)</x:f>
        <x:v>14</x:v>
      </x:c>
      <x:c r="F12" s="45" t="n">
        <x:f>IF(COUNTIFS('Historique'!$A$5:$A$200,A12,'Historique'!$D$5:$D$200,B12,'Historique'!$K$5:$K$200,"&lt;&gt;")=0,"",SUMIFS('Historique'!$K$5:$K$200,'Historique'!$A$5:$A$200,A12,'Historique'!$D$5:$D$200,B12)/COUNTIFS('Historique'!$A$5:$A$200,A12,'Historique'!$D$5:$D$200,B12,'Historique'!$K$5:$K$200,"&lt;&gt;"))</x:f>
        <x:v>0</x:v>
      </x:c>
      <x:c r="G12" s="45" t="n">
        <x:f>IF(COUNTIFS('Historique'!$A$5:$A$200,A12,'Historique'!$D$5:$D$200,B12,'Historique'!$L$5:$L$200,"&lt;&gt;")=0,"",SUMIFS('Historique'!$L$5:$L$200,'Historique'!$A$5:$A$200,A12,'Historique'!$D$5:$D$200,B12)/COUNTIFS('Historique'!$A$5:$A$200,A12,'Historique'!$D$5:$D$200,B12,'Historique'!$L$5:$L$200,"&lt;&gt;"))</x:f>
        <x:v>0</x:v>
      </x:c>
      <x:c r="H12" s="42" t="str">
        <x:f>IF(D12=0,"Pas de données",IF(D12&lt;3,"Échantillon très faible","Échantillon partiel"))</x:f>
        <x:v>Échantillon très faible</x:v>
      </x:c>
    </x:row>
    <x:row r="13">
      <x:c r="A13" s="46" t="str">
        <x:v>X</x:v>
      </x:c>
      <x:c r="B13" s="46" t="str">
        <x:v>C3</x:v>
      </x:c>
      <x:c r="C13" s="46" t="str">
        <x:v>23:15</x:v>
      </x:c>
      <x:c r="D13" s="49" t="n">
        <x:f>COUNTIFS('Historique'!$A$5:$A$200,A13,'Historique'!$D$5:$D$200,B13)</x:f>
        <x:v>0</x:v>
      </x:c>
      <x:c r="E13" s="49" t="str">
        <x:f>IF(D13=0,"",SUMIFS('Historique'!$J$5:$J$200,'Historique'!$A$5:$A$200,A13,'Historique'!$D$5:$D$200,B13)/D13)</x:f>
      </x:c>
      <x:c r="F13" s="49" t="str">
        <x:f>IF(COUNTIFS('Historique'!$A$5:$A$200,A13,'Historique'!$D$5:$D$200,B13,'Historique'!$K$5:$K$200,"&lt;&gt;")=0,"",SUMIFS('Historique'!$K$5:$K$200,'Historique'!$A$5:$A$200,A13,'Historique'!$D$5:$D$200,B13)/COUNTIFS('Historique'!$A$5:$A$200,A13,'Historique'!$D$5:$D$200,B13,'Historique'!$K$5:$K$200,"&lt;&gt;"))</x:f>
      </x:c>
      <x:c r="G13" s="49" t="str">
        <x:f>IF(COUNTIFS('Historique'!$A$5:$A$200,A13,'Historique'!$D$5:$D$200,B13,'Historique'!$L$5:$L$200,"&lt;&gt;")=0,"",SUMIFS('Historique'!$L$5:$L$200,'Historique'!$A$5:$A$200,A13,'Historique'!$D$5:$D$200,B13)/COUNTIFS('Historique'!$A$5:$A$200,A13,'Historique'!$D$5:$D$200,B13,'Historique'!$L$5:$L$200,"&lt;&gt;"))</x:f>
      </x:c>
      <x:c r="H13" s="46" t="str">
        <x:f>IF(D13=0,"Pas de données",IF(D13&lt;3,"Échantillon très faible","Échantillon partiel"))</x:f>
        <x:v>Pas de données</x:v>
      </x:c>
    </x:row>
  </x:sheetData>
  <x:mergeCells>
    <x:mergeCell ref="A1:H1"/>
    <x:mergeCell ref="A2:H2"/>
  </x:mergeCells>
  <x:conditionalFormatting sqref="E5:E13">
    <x:cfRule type="dataBar" priority="1">
      <x:dataBar>
        <x:cfvo type="min"/>
        <x:cfvo type="max"/>
        <x:color rgb="FFB89553"/>
      </x:dataBar>
      <x:extLst>
        <x:ext xmlns:x14="http://schemas.microsoft.com/office/spreadsheetml/2009/9/main" uri="{B025F937-C7B1-47D3-B67F-A62EFF666E3E}">
          <x14:id>{0FCFB5AE-4F4F-F547-0B08-AEA33C5EC64B}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FCFB5AE-4F4F-F547-0B08-AEA33C5EC64B}">
            <x14:dataBar gradient="1">
              <x14:cfvo type="min"/>
              <x14:cfvo type="max"/>
              <x14:fillColor rgb="FFB89553"/>
            </x14:dataBar>
          </x14:cfRule>
          <xm:sqref>E5:E13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.670000076293945" hidden="0" customWidth="1"/>
    <x:col min="3" max="3" width="9.329999923706055" hidden="0" customWidth="1"/>
    <x:col min="4" max="4" width="7.559999942779541" hidden="0" customWidth="1"/>
    <x:col min="5" max="5" width="19.440000534057617" hidden="0" customWidth="1"/>
    <x:col min="6" max="6" width="32.220001220703125" hidden="0" customWidth="1"/>
    <x:col min="7" max="7" width="32.220001220703125" hidden="0" customWidth="1"/>
    <x:col min="8" max="8" width="33.33000183105469" hidden="0" customWidth="1"/>
    <x:col min="9" max="9" width="12.220000267028809" hidden="0" customWidth="1"/>
    <x:col min="10" max="10" width="12.4399995803833" hidden="0" customWidth="1"/>
    <x:col min="11" max="11" width="11.670000076293945" hidden="0" customWidth="1"/>
    <x:col min="12" max="12" width="12.220000267028809" hidden="0" customWidth="1"/>
    <x:col min="13" max="13" width="11.109999656677246" hidden="0" customWidth="1"/>
    <x:col min="14" max="14" width="12.220000267028809" hidden="0" customWidth="1"/>
    <x:col min="15" max="15" width="28.889999389648438" hidden="0" customWidth="1"/>
    <x:col min="16" max="16" width="11.109999656677246" hidden="0" customWidth="1"/>
    <x:col min="17" max="17" width="32.220001220703125" hidden="0" customWidth="1"/>
    <x:col min="18" max="18" width="17.780000686645508" hidden="0" customWidth="1"/>
  </x:cols>
  <x:sheetData>
    <x:row r="1" ht="25.5" customHeight="1">
      <x:c r="A1" s="2" t="str">
        <x:v>Noctalia — historique des performances sociales</x:v>
      </x:c>
      <x:c r="B1" s="2" t="str">
        <x:v>Noctalia — historique des performances sociales</x:v>
      </x:c>
      <x:c r="C1" s="2" t="str">
        <x:v>Noctalia — historique des performances sociales</x:v>
      </x:c>
      <x:c r="D1" s="2" t="str">
        <x:v>Noctalia — historique des performances sociales</x:v>
      </x:c>
      <x:c r="E1" s="2" t="str">
        <x:v>Noctalia — historique des performances sociales</x:v>
      </x:c>
      <x:c r="F1" s="2" t="str">
        <x:v>Noctalia — historique des performances sociales</x:v>
      </x:c>
      <x:c r="G1" s="2" t="str">
        <x:v>Noctalia — historique des performances sociales</x:v>
      </x:c>
      <x:c r="H1" s="2" t="str">
        <x:v>Noctalia — historique des performances sociales</x:v>
      </x:c>
      <x:c r="I1" s="2" t="str">
        <x:v>Noctalia — historique des performances sociales</x:v>
      </x:c>
      <x:c r="J1" s="2" t="str">
        <x:v>Noctalia — historique des performances sociales</x:v>
      </x:c>
      <x:c r="K1" s="2" t="str">
        <x:v>Noctalia — historique des performances sociales</x:v>
      </x:c>
      <x:c r="L1" s="2" t="str">
        <x:v>Noctalia — historique des performances sociales</x:v>
      </x:c>
      <x:c r="M1" s="2" t="str">
        <x:v>Noctalia — historique des performances sociales</x:v>
      </x:c>
      <x:c r="N1" s="2" t="str">
        <x:v>Noctalia — historique des performances sociales</x:v>
      </x:c>
      <x:c r="O1" s="2" t="str">
        <x:v>Noctalia — historique des performances sociales</x:v>
      </x:c>
      <x:c r="P1" s="2" t="str">
        <x:v>Noctalia — historique des performances sociales</x:v>
      </x:c>
      <x:c r="Q1" s="2" t="str">
        <x:v>Noctalia — historique des performances sociales</x:v>
      </x:c>
      <x:c r="R1" s="2" t="str">
        <x:v>Noctalia — historique des performances sociales</x:v>
      </x:c>
    </x:row>
    <x:row r="2">
      <x:c r="A2" s="5" t="str">
        <x:v>Valeurs relevées dans les interfaces natives au 3 septembre 2026. Les cellules vides signifient “métrique non exposée”, jamais zéro supposé.</x:v>
      </x:c>
      <x:c r="B2" s="5" t="str">
        <x:v>Valeurs relevées dans les interfaces natives au 3 septembre 2026. Les cellules vides signifient “métrique non exposée”, jamais zéro supposé.</x:v>
      </x:c>
      <x:c r="C2" s="5" t="str">
        <x:v>Valeurs relevées dans les interfaces natives au 3 septembre 2026. Les cellules vides signifient “métrique non exposée”, jamais zéro supposé.</x:v>
      </x:c>
      <x:c r="D2" s="5" t="str">
        <x:v>Valeurs relevées dans les interfaces natives au 3 septembre 2026. Les cellules vides signifient “métrique non exposée”, jamais zéro supposé.</x:v>
      </x:c>
      <x:c r="E2" s="5" t="str">
        <x:v>Valeurs relevées dans les interfaces natives au 3 septembre 2026. Les cellules vides signifient “métrique non exposée”, jamais zéro supposé.</x:v>
      </x:c>
      <x:c r="F2" s="5" t="str">
        <x:v>Valeurs relevées dans les interfaces natives au 3 septembre 2026. Les cellules vides signifient “métrique non exposée”, jamais zéro supposé.</x:v>
      </x:c>
      <x:c r="G2" s="5" t="str">
        <x:v>Valeurs relevées dans les interfaces natives au 3 septembre 2026. Les cellules vides signifient “métrique non exposée”, jamais zéro supposé.</x:v>
      </x:c>
      <x:c r="H2" s="5" t="str">
        <x:v>Valeurs relevées dans les interfaces natives au 3 septembre 2026. Les cellules vides signifient “métrique non exposée”, jamais zéro supposé.</x:v>
      </x:c>
      <x:c r="I2" s="5" t="str">
        <x:v>Valeurs relevées dans les interfaces natives au 3 septembre 2026. Les cellules vides signifient “métrique non exposée”, jamais zéro supposé.</x:v>
      </x:c>
      <x:c r="J2" s="5" t="str">
        <x:v>Valeurs relevées dans les interfaces natives au 3 septembre 2026. Les cellules vides signifient “métrique non exposée”, jamais zéro supposé.</x:v>
      </x:c>
      <x:c r="K2" s="5" t="str">
        <x:v>Valeurs relevées dans les interfaces natives au 3 septembre 2026. Les cellules vides signifient “métrique non exposée”, jamais zéro supposé.</x:v>
      </x:c>
      <x:c r="L2" s="5" t="str">
        <x:v>Valeurs relevées dans les interfaces natives au 3 septembre 2026. Les cellules vides signifient “métrique non exposée”, jamais zéro supposé.</x:v>
      </x:c>
      <x:c r="M2" s="5" t="str">
        <x:v>Valeurs relevées dans les interfaces natives au 3 septembre 2026. Les cellules vides signifient “métrique non exposée”, jamais zéro supposé.</x:v>
      </x:c>
      <x:c r="N2" s="5" t="str">
        <x:v>Valeurs relevées dans les interfaces natives au 3 septembre 2026. Les cellules vides signifient “métrique non exposée”, jamais zéro supposé.</x:v>
      </x:c>
      <x:c r="O2" s="5" t="str">
        <x:v>Valeurs relevées dans les interfaces natives au 3 septembre 2026. Les cellules vides signifient “métrique non exposée”, jamais zéro supposé.</x:v>
      </x:c>
      <x:c r="P2" s="5" t="str">
        <x:v>Valeurs relevées dans les interfaces natives au 3 septembre 2026. Les cellules vides signifient “métrique non exposée”, jamais zéro supposé.</x:v>
      </x:c>
      <x:c r="Q2" s="5" t="str">
        <x:v>Valeurs relevées dans les interfaces natives au 3 septembre 2026. Les cellules vides signifient “métrique non exposée”, jamais zéro supposé.</x:v>
      </x:c>
      <x:c r="R2" s="5" t="str">
        <x:v>Valeurs relevées dans les interfaces natives au 3 septembre 2026. Les cellules vides signifient “métrique non exposée”, jamais zéro supposé.</x:v>
      </x:c>
    </x:row>
    <x:row r="4" ht="25.5" customHeight="1">
      <x:c r="A4" s="10" t="str">
        <x:v>Plateforme</x:v>
      </x:c>
      <x:c r="B4" s="10" t="str">
        <x:v>Date publication</x:v>
      </x:c>
      <x:c r="C4" s="10" t="str">
        <x:v>Heure Paris</x:v>
      </x:c>
      <x:c r="D4" s="10" t="str">
        <x:v>Créneau</x:v>
      </x:c>
      <x:c r="E4" s="10" t="str">
        <x:v>ID publication</x:v>
      </x:c>
      <x:c r="F4" s="10" t="str">
        <x:v>Nom de la vidéo</x:v>
      </x:c>
      <x:c r="G4" s="10" t="str">
        <x:v>Fichier vidéo</x:v>
      </x:c>
      <x:c r="H4" s="10" t="str">
        <x:v>Vidéo publique</x:v>
      </x:c>
      <x:c r="I4" s="10" t="str">
        <x:v>Métrique portée</x:v>
      </x:c>
      <x:c r="J4" s="10" t="str">
        <x:v>Vues / impressions</x:v>
      </x:c>
      <x:c r="K4" s="10" t="str">
        <x:v>Likes / réactions</x:v>
      </x:c>
      <x:c r="L4" s="10" t="str">
        <x:v>Partages / reposts</x:v>
      </x:c>
      <x:c r="M4" s="10" t="str">
        <x:v>Commentaires</x:v>
      </x:c>
      <x:c r="N4" s="10" t="str">
        <x:v>Enregistrements</x:v>
      </x:c>
      <x:c r="O4" s="10" t="str">
        <x:v>Source native</x:v>
      </x:c>
      <x:c r="P4" s="10" t="str">
        <x:v>Date du relevé</x:v>
      </x:c>
      <x:c r="Q4" s="10" t="str">
        <x:v>Qualité / limites</x:v>
      </x:c>
      <x:c r="R4" s="10" t="str">
        <x:v>Clé de synthèse</x:v>
      </x:c>
    </x:row>
    <x:row r="5">
      <x:c r="A5" s="38" t="str">
        <x:v>TikTok</x:v>
      </x:c>
      <x:c r="B5" s="39" t="n">
        <x:v>46017</x:v>
      </x:c>
      <x:c r="C5" s="38" t="str"/>
      <x:c r="D5" s="38" t="str"/>
      <x:c r="E5" s="40" t="str">
        <x:v>TikTok:7588263110427905302</x:v>
      </x:c>
      <x:c r="F5" s="38" t="str">
        <x:v>Lancement Noctalia</x:v>
      </x:c>
      <x:c r="G5" s="38" t="str"/>
      <x:c r="H5" s="38" t="str">
        <x:v>https://www.tiktok.com/@noctaliadreams/video/7588263110427905302</x:v>
      </x:c>
      <x:c r="I5" s="38" t="str">
        <x:v>Vues</x:v>
      </x:c>
      <x:c r="J5" s="41" t="n">
        <x:v>989</x:v>
      </x:c>
      <x:c r="K5" s="41" t="n">
        <x:v>2</x:v>
      </x:c>
      <x:c r="L5" s="41"/>
      <x:c r="M5" s="41"/>
      <x:c r="N5" s="41"/>
      <x:c r="O5" s="38" t="str">
        <x:v>TikTok Studio — contenu trié par vues (extrait)</x:v>
      </x:c>
      <x:c r="P5" s="39" t="n">
        <x:v>46268</x:v>
      </x:c>
      <x:c r="Q5" s="38" t="str">
        <x:v>Mesure native; heure et partages non exposés dans le relevé</x:v>
      </x:c>
      <x:c r="R5" s="38" t="str">
        <x:f>A5&amp;"|"&amp;TEXT(J5,"0")</x:f>
        <x:v>TikTok|989</x:v>
      </x:c>
    </x:row>
    <x:row r="6">
      <x:c r="A6" s="42" t="str">
        <x:v>TikTok</x:v>
      </x:c>
      <x:c r="B6" s="43" t="n">
        <x:v>46021</x:v>
      </x:c>
      <x:c r="C6" s="42" t="str"/>
      <x:c r="D6" s="42" t="str"/>
      <x:c r="E6" s="44" t="str">
        <x:v>TikTok:7589690934741290262</x:v>
      </x:c>
      <x:c r="F6" s="42" t="str">
        <x:v>Avatar trend</x:v>
      </x:c>
      <x:c r="G6" s="42" t="str"/>
      <x:c r="H6" s="42" t="str">
        <x:v>https://www.tiktok.com/@noctaliadreams/video/7589690934741290262</x:v>
      </x:c>
      <x:c r="I6" s="42" t="str">
        <x:v>Vues</x:v>
      </x:c>
      <x:c r="J6" s="45" t="n">
        <x:v>838</x:v>
      </x:c>
      <x:c r="K6" s="45" t="n">
        <x:v>7</x:v>
      </x:c>
      <x:c r="L6" s="45"/>
      <x:c r="M6" s="45"/>
      <x:c r="N6" s="45"/>
      <x:c r="O6" s="42" t="str">
        <x:v>TikTok Studio — contenu trié par vues (extrait)</x:v>
      </x:c>
      <x:c r="P6" s="43" t="n">
        <x:v>46268</x:v>
      </x:c>
      <x:c r="Q6" s="42" t="str">
        <x:v>Mesure native; heure et partages non exposés dans le relevé</x:v>
      </x:c>
      <x:c r="R6" s="42" t="str">
        <x:f>A6&amp;"|"&amp;TEXT(J6,"0")</x:f>
        <x:v>TikTok|838</x:v>
      </x:c>
    </x:row>
    <x:row r="7">
      <x:c r="A7" s="42" t="str">
        <x:v>TikTok</x:v>
      </x:c>
      <x:c r="B7" s="43" t="n">
        <x:v>46240</x:v>
      </x:c>
      <x:c r="C7" s="42" t="str">
        <x:v>22:30</x:v>
      </x:c>
      <x:c r="D7" s="42" t="str">
        <x:v>C3</x:v>
      </x:c>
      <x:c r="E7" s="44" t="str">
        <x:v>TikTok:7670973164867947798</x:v>
      </x:c>
      <x:c r="F7" s="42" t="str">
        <x:v>A house that should not exist. Would you step inside?</x:v>
      </x:c>
      <x:c r="G7" s="42" t="str">
        <x:v>05-maison.mp4</x:v>
      </x:c>
      <x:c r="H7" s="42" t="str">
        <x:v>https://www.tiktok.com/@noctaliadreams/video/7670973164867947798</x:v>
      </x:c>
      <x:c r="I7" s="42" t="str">
        <x:v>Vues</x:v>
      </x:c>
      <x:c r="J7" s="45" t="n">
        <x:v>810</x:v>
      </x:c>
      <x:c r="K7" s="45" t="n">
        <x:v>9</x:v>
      </x:c>
      <x:c r="L7" s="45"/>
      <x:c r="M7" s="45" t="n">
        <x:v>0</x:v>
      </x:c>
      <x:c r="N7" s="45"/>
      <x:c r="O7" s="42" t="str">
        <x:v>TikTok Studio + registre Noctalia</x:v>
      </x:c>
      <x:c r="P7" s="43" t="n">
        <x:v>46268</x:v>
      </x:c>
      <x:c r="Q7" s="42" t="str">
        <x:v>Mesure native; partages non exposés</x:v>
      </x:c>
      <x:c r="R7" s="42" t="str">
        <x:f>A7&amp;"|"&amp;TEXT(J7,"0")</x:f>
        <x:v>TikTok|810</x:v>
      </x:c>
    </x:row>
    <x:row r="8">
      <x:c r="A8" s="42" t="str">
        <x:v>TikTok</x:v>
      </x:c>
      <x:c r="B8" s="43" t="n">
        <x:v>46242</x:v>
      </x:c>
      <x:c r="C8" s="42" t="str">
        <x:v>19:30</x:v>
      </x:c>
      <x:c r="D8" s="42" t="str">
        <x:v>C2</x:v>
      </x:c>
      <x:c r="E8" s="44" t="str">
        <x:v>TikTok:7669150066350820630</x:v>
      </x:c>
      <x:c r="F8" s="42" t="str">
        <x:v>What did the serpent become in your dream?</x:v>
      </x:c>
      <x:c r="G8" s="42" t="str">
        <x:v>03-serpent.mp4</x:v>
      </x:c>
      <x:c r="H8" s="42" t="str">
        <x:v>https://www.tiktok.com/@noctaliadreams/video/7669150066350820630</x:v>
      </x:c>
      <x:c r="I8" s="42" t="str">
        <x:v>Vues</x:v>
      </x:c>
      <x:c r="J8" s="45" t="n">
        <x:v>813</x:v>
      </x:c>
      <x:c r="K8" s="45" t="n">
        <x:v>16</x:v>
      </x:c>
      <x:c r="L8" s="45"/>
      <x:c r="M8" s="45" t="n">
        <x:v>0</x:v>
      </x:c>
      <x:c r="N8" s="45"/>
      <x:c r="O8" s="42" t="str">
        <x:v>TikTok Studio + registre Noctalia</x:v>
      </x:c>
      <x:c r="P8" s="43" t="n">
        <x:v>46268</x:v>
      </x:c>
      <x:c r="Q8" s="42" t="str">
        <x:v>Mesure native; partages non exposés</x:v>
      </x:c>
      <x:c r="R8" s="42" t="str">
        <x:f>A8&amp;"|"&amp;TEXT(J8,"0")</x:f>
        <x:v>TikTok|813</x:v>
      </x:c>
    </x:row>
    <x:row r="9">
      <x:c r="A9" s="42" t="str">
        <x:v>TikTok</x:v>
      </x:c>
      <x:c r="B9" s="43" t="n">
        <x:v>46251</x:v>
      </x:c>
      <x:c r="C9" s="42" t="str">
        <x:v>19:30</x:v>
      </x:c>
      <x:c r="D9" s="42" t="str">
        <x:v>C2</x:v>
      </x:c>
      <x:c r="E9" s="44" t="str">
        <x:v>TikTok:7672908734812753174</x:v>
      </x:c>
      <x:c r="F9" s="42" t="str">
        <x:v>A dream city unfolds below. Where would you land first?</x:v>
      </x:c>
      <x:c r="G9" s="42" t="str">
        <x:v>HIGGS_2026-08-05_155812_CITY_POV_A_2c5b1abd.mp4</x:v>
      </x:c>
      <x:c r="H9" s="42" t="str">
        <x:v>https://www.tiktok.com/@noctaliadreams/video/7672908734812753174</x:v>
      </x:c>
      <x:c r="I9" s="42" t="str">
        <x:v>Vues</x:v>
      </x:c>
      <x:c r="J9" s="45" t="n">
        <x:v>756</x:v>
      </x:c>
      <x:c r="K9" s="45" t="n">
        <x:v>24</x:v>
      </x:c>
      <x:c r="L9" s="45"/>
      <x:c r="M9" s="45" t="n">
        <x:v>2</x:v>
      </x:c>
      <x:c r="N9" s="45"/>
      <x:c r="O9" s="42" t="str">
        <x:v>TikTok Studio + registre Noctalia</x:v>
      </x:c>
      <x:c r="P9" s="43" t="n">
        <x:v>46268</x:v>
      </x:c>
      <x:c r="Q9" s="42" t="str">
        <x:v>Mesure native; partages non exposés</x:v>
      </x:c>
      <x:c r="R9" s="42" t="str">
        <x:f>A9&amp;"|"&amp;TEXT(J9,"0")</x:f>
        <x:v>TikTok|756</x:v>
      </x:c>
    </x:row>
    <x:row r="10">
      <x:c r="A10" s="42" t="str">
        <x:v>TikTok</x:v>
      </x:c>
      <x:c r="B10" s="43" t="n">
        <x:v>46251</x:v>
      </x:c>
      <x:c r="C10" s="42" t="str">
        <x:v>22:30</x:v>
      </x:c>
      <x:c r="D10" s="42" t="str">
        <x:v>C3</x:v>
      </x:c>
      <x:c r="E10" s="44" t="str">
        <x:v>TikTok:7672908815154662678</x:v>
      </x:c>
      <x:c r="F10" s="42" t="str">
        <x:v>The city keeps changing around you. Which way would you turn?</x:v>
      </x:c>
      <x:c r="G10" s="42" t="str">
        <x:v>HIGGS_2026-08-05_161541_CITY_POV_B_a7ea3391.mp4</x:v>
      </x:c>
      <x:c r="H10" s="42" t="str">
        <x:v>https://www.tiktok.com/@noctaliadreams/video/7672908815154662678</x:v>
      </x:c>
      <x:c r="I10" s="42" t="str">
        <x:v>Vues</x:v>
      </x:c>
      <x:c r="J10" s="45" t="n">
        <x:v>256</x:v>
      </x:c>
      <x:c r="K10" s="45" t="n">
        <x:v>12</x:v>
      </x:c>
      <x:c r="L10" s="45"/>
      <x:c r="M10" s="45" t="n">
        <x:v>0</x:v>
      </x:c>
      <x:c r="N10" s="45"/>
      <x:c r="O10" s="42" t="str">
        <x:v>TikTok Studio + registre Noctalia</x:v>
      </x:c>
      <x:c r="P10" s="43" t="n">
        <x:v>46268</x:v>
      </x:c>
      <x:c r="Q10" s="42" t="str">
        <x:v>Mesure native; partages non exposés</x:v>
      </x:c>
      <x:c r="R10" s="42" t="str">
        <x:f>A10&amp;"|"&amp;TEXT(J10,"0")</x:f>
        <x:v>TikTok|256</x:v>
      </x:c>
    </x:row>
    <x:row r="11">
      <x:c r="A11" s="42" t="str">
        <x:v>TikTok</x:v>
      </x:c>
      <x:c r="B11" s="43" t="n">
        <x:v>46252</x:v>
      </x:c>
      <x:c r="C11" s="42" t="str">
        <x:v>15:30</x:v>
      </x:c>
      <x:c r="D11" s="42" t="str">
        <x:v>C1</x:v>
      </x:c>
      <x:c r="E11" s="44" t="str">
        <x:v>TikTok:7672909813348568342</x:v>
      </x:c>
      <x:c r="F11" s="42" t="str">
        <x:v>A city shifts beneath your feet. Where would you go first?</x:v>
      </x:c>
      <x:c r="G11" s="42" t="str">
        <x:v>HIGGS_2026-08-05_171605_CITY_POV_C_cecd94a1.mp4</x:v>
      </x:c>
      <x:c r="H11" s="42" t="str">
        <x:v>https://www.tiktok.com/@noctaliadreams/video/7672909813348568342</x:v>
      </x:c>
      <x:c r="I11" s="42" t="str">
        <x:v>Vues</x:v>
      </x:c>
      <x:c r="J11" s="45" t="n">
        <x:v>250</x:v>
      </x:c>
      <x:c r="K11" s="45" t="n">
        <x:v>8</x:v>
      </x:c>
      <x:c r="L11" s="45"/>
      <x:c r="M11" s="45" t="n">
        <x:v>0</x:v>
      </x:c>
      <x:c r="N11" s="45"/>
      <x:c r="O11" s="42" t="str">
        <x:v>TikTok Studio + registre Noctalia</x:v>
      </x:c>
      <x:c r="P11" s="43" t="n">
        <x:v>46268</x:v>
      </x:c>
      <x:c r="Q11" s="42" t="str">
        <x:v>Mesure native; partages non exposés</x:v>
      </x:c>
      <x:c r="R11" s="42" t="str">
        <x:f>A11&amp;"|"&amp;TEXT(J11,"0")</x:f>
        <x:v>TikTok|250</x:v>
      </x:c>
    </x:row>
    <x:row r="12">
      <x:c r="A12" s="42" t="str">
        <x:v>TikTok</x:v>
      </x:c>
      <x:c r="B12" s="43" t="n">
        <x:v>46252</x:v>
      </x:c>
      <x:c r="C12" s="42" t="str">
        <x:v>19:30</x:v>
      </x:c>
      <x:c r="D12" s="42" t="str">
        <x:v>C2</x:v>
      </x:c>
      <x:c r="E12" s="44" t="str">
        <x:v>TikTok:7672909895074630934</x:v>
      </x:c>
      <x:c r="F12" s="42" t="str">
        <x:v>Neon streets stretch into the horizon</x:v>
      </x:c>
      <x:c r="G12" s="42" t="str">
        <x:v>HIGGS_2026-08-05_174658_CITY_POV_D_749127f1.mp4</x:v>
      </x:c>
      <x:c r="H12" s="42" t="str">
        <x:v>https://www.tiktok.com/@noctaliadreams/video/7672909895074630934</x:v>
      </x:c>
      <x:c r="I12" s="42" t="str">
        <x:v>Vues</x:v>
      </x:c>
      <x:c r="J12" s="45" t="n">
        <x:v>780</x:v>
      </x:c>
      <x:c r="K12" s="45" t="n">
        <x:v>23</x:v>
      </x:c>
      <x:c r="L12" s="45"/>
      <x:c r="M12" s="45" t="n">
        <x:v>0</x:v>
      </x:c>
      <x:c r="N12" s="45"/>
      <x:c r="O12" s="42" t="str">
        <x:v>TikTok Studio + registre Noctalia</x:v>
      </x:c>
      <x:c r="P12" s="43" t="n">
        <x:v>46268</x:v>
      </x:c>
      <x:c r="Q12" s="42" t="str">
        <x:v>Mesure native; partages non exposés</x:v>
      </x:c>
      <x:c r="R12" s="42" t="str">
        <x:f>A12&amp;"|"&amp;TEXT(J12,"0")</x:f>
        <x:v>TikTok|780</x:v>
      </x:c>
    </x:row>
    <x:row r="13">
      <x:c r="A13" s="42" t="str">
        <x:v>TikTok</x:v>
      </x:c>
      <x:c r="B13" s="43" t="n">
        <x:v>46252</x:v>
      </x:c>
      <x:c r="C13" s="42" t="str">
        <x:v>22:30</x:v>
      </x:c>
      <x:c r="D13" s="42" t="str">
        <x:v>C3</x:v>
      </x:c>
      <x:c r="E13" s="44" t="str">
        <x:v>TikTok:7672909972921011459</x:v>
      </x:c>
      <x:c r="F13" s="42" t="str">
        <x:v>A wave rises above the city. Would you wake up or keep watching?</x:v>
      </x:c>
      <x:c r="G13" s="42" t="str">
        <x:v>HIGGS_2026-08-05_162633_TSUNAMI_NEWS_14edcce9.mp4</x:v>
      </x:c>
      <x:c r="H13" s="42" t="str">
        <x:v>https://www.tiktok.com/@noctaliadreams/video/7672909972921011459</x:v>
      </x:c>
      <x:c r="I13" s="42" t="str">
        <x:v>Vues</x:v>
      </x:c>
      <x:c r="J13" s="45" t="n">
        <x:v>228</x:v>
      </x:c>
      <x:c r="K13" s="45" t="n">
        <x:v>4</x:v>
      </x:c>
      <x:c r="L13" s="45"/>
      <x:c r="M13" s="45" t="n">
        <x:v>0</x:v>
      </x:c>
      <x:c r="N13" s="45"/>
      <x:c r="O13" s="42" t="str">
        <x:v>TikTok Studio + registre Noctalia</x:v>
      </x:c>
      <x:c r="P13" s="43" t="n">
        <x:v>46268</x:v>
      </x:c>
      <x:c r="Q13" s="42" t="str">
        <x:v>Mesure native; partages non exposés</x:v>
      </x:c>
      <x:c r="R13" s="42" t="str">
        <x:f>A13&amp;"|"&amp;TEXT(J13,"0")</x:f>
        <x:v>TikTok|228</x:v>
      </x:c>
    </x:row>
    <x:row r="14">
      <x:c r="A14" s="42" t="str">
        <x:v>TikTok</x:v>
      </x:c>
      <x:c r="B14" s="43" t="n">
        <x:v>46253</x:v>
      </x:c>
      <x:c r="C14" s="42" t="str">
        <x:v>15:30</x:v>
      </x:c>
      <x:c r="D14" s="42" t="str">
        <x:v>C1</x:v>
      </x:c>
      <x:c r="E14" s="44" t="str">
        <x:v>TikTok:7672911514487033110</x:v>
      </x:c>
      <x:c r="F14" s="42" t="str">
        <x:v>Time stops across the city. What would you do first?</x:v>
      </x:c>
      <x:c r="G14" s="42" t="str">
        <x:v>HIGGS_2026-08-05_183301_TIME_FREEZE_CITY_073670c9.mp4</x:v>
      </x:c>
      <x:c r="H14" s="42" t="str">
        <x:v>https://www.tiktok.com/@noctaliadreams/video/7672911514487033110</x:v>
      </x:c>
      <x:c r="I14" s="42" t="str">
        <x:v>Vues</x:v>
      </x:c>
      <x:c r="J14" s="45" t="n">
        <x:v>777</x:v>
      </x:c>
      <x:c r="K14" s="45" t="n">
        <x:v>8</x:v>
      </x:c>
      <x:c r="L14" s="45"/>
      <x:c r="M14" s="45" t="n">
        <x:v>0</x:v>
      </x:c>
      <x:c r="N14" s="45"/>
      <x:c r="O14" s="42" t="str">
        <x:v>TikTok Studio + registre Noctalia</x:v>
      </x:c>
      <x:c r="P14" s="43" t="n">
        <x:v>46268</x:v>
      </x:c>
      <x:c r="Q14" s="42" t="str">
        <x:v>Mesure native; partages non exposés</x:v>
      </x:c>
      <x:c r="R14" s="42" t="str">
        <x:f>A14&amp;"|"&amp;TEXT(J14,"0")</x:f>
        <x:v>TikTok|777</x:v>
      </x:c>
    </x:row>
    <x:row r="15">
      <x:c r="A15" s="42" t="str">
        <x:v>TikTok</x:v>
      </x:c>
      <x:c r="B15" s="43" t="n">
        <x:v>46255</x:v>
      </x:c>
      <x:c r="C15" s="42" t="str">
        <x:v>15:30</x:v>
      </x:c>
      <x:c r="D15" s="42" t="str">
        <x:v>C1</x:v>
      </x:c>
      <x:c r="E15" s="44" t="str">
        <x:v>TikTok:7672913676256496918</x:v>
      </x:c>
      <x:c r="F15" s="42" t="str">
        <x:v>Flying through a city of glass and steel. Which path would you take?</x:v>
      </x:c>
      <x:c r="G15" s="42" t="str">
        <x:v>HIGGS_2026-08-06_005_FP_CITY.mp4</x:v>
      </x:c>
      <x:c r="H15" s="42" t="str">
        <x:v>https://www.tiktok.com/@noctaliadreams/video/7672913676256496918</x:v>
      </x:c>
      <x:c r="I15" s="42" t="str">
        <x:v>Vues</x:v>
      </x:c>
      <x:c r="J15" s="45" t="n">
        <x:v>801</x:v>
      </x:c>
      <x:c r="K15" s="45" t="n">
        <x:v>26</x:v>
      </x:c>
      <x:c r="L15" s="45"/>
      <x:c r="M15" s="45"/>
      <x:c r="N15" s="45"/>
      <x:c r="O15" s="42" t="str">
        <x:v>TikTok Studio + registre Noctalia</x:v>
      </x:c>
      <x:c r="P15" s="43" t="n">
        <x:v>46268</x:v>
      </x:c>
      <x:c r="Q15" s="42" t="str">
        <x:v>Mesure native; commentaires et partages non exposés dans ce relevé</x:v>
      </x:c>
      <x:c r="R15" s="42" t="str">
        <x:f>A15&amp;"|"&amp;TEXT(J15,"0")</x:f>
        <x:v>TikTok|801</x:v>
      </x:c>
    </x:row>
    <x:row r="16">
      <x:c r="A16" s="42" t="str">
        <x:v>TikTok</x:v>
      </x:c>
      <x:c r="B16" s="43" t="n">
        <x:v>46255</x:v>
      </x:c>
      <x:c r="C16" s="42" t="str">
        <x:v>19:30</x:v>
      </x:c>
      <x:c r="D16" s="42" t="str">
        <x:v>C2</x:v>
      </x:c>
      <x:c r="E16" s="44" t="str">
        <x:v>TikTok:7672913741863800086</x:v>
      </x:c>
      <x:c r="F16" s="42" t="str">
        <x:v>A neon city moves faster than thought. Would you ride through it?</x:v>
      </x:c>
      <x:c r="G16" s="42" t="str">
        <x:v>HIGGS_2026-08-06_006_FP_CITY.mp4</x:v>
      </x:c>
      <x:c r="H16" s="42" t="str">
        <x:v>https://www.tiktok.com/@noctaliadreams/video/7672913741863800086</x:v>
      </x:c>
      <x:c r="I16" s="42" t="str">
        <x:v>Vues</x:v>
      </x:c>
      <x:c r="J16" s="45" t="n">
        <x:v>807</x:v>
      </x:c>
      <x:c r="K16" s="45" t="n">
        <x:v>23</x:v>
      </x:c>
      <x:c r="L16" s="45"/>
      <x:c r="M16" s="45" t="n">
        <x:v>2</x:v>
      </x:c>
      <x:c r="N16" s="45"/>
      <x:c r="O16" s="42" t="str">
        <x:v>TikTok Studio + registre Noctalia</x:v>
      </x:c>
      <x:c r="P16" s="43" t="n">
        <x:v>46268</x:v>
      </x:c>
      <x:c r="Q16" s="42" t="str">
        <x:v>Mesure native; partages non exposés</x:v>
      </x:c>
      <x:c r="R16" s="42" t="str">
        <x:f>A16&amp;"|"&amp;TEXT(J16,"0")</x:f>
        <x:v>TikTok|807</x:v>
      </x:c>
    </x:row>
    <x:row r="17">
      <x:c r="A17" s="42" t="str">
        <x:v>TikTok</x:v>
      </x:c>
      <x:c r="B17" s="43" t="n">
        <x:v>46258</x:v>
      </x:c>
      <x:c r="C17" s="42" t="str">
        <x:v>15:30</x:v>
      </x:c>
      <x:c r="D17" s="42" t="str">
        <x:v>C1</x:v>
      </x:c>
      <x:c r="E17" s="44" t="str">
        <x:v>TikTok:7672916773661838614</x:v>
      </x:c>
      <x:c r="F17" s="42" t="str">
        <x:v>The ocean pauses under a single star. What would you wish for?</x:v>
      </x:c>
      <x:c r="G17" s="42" t="str">
        <x:v>NOC_REVEIL_S08_VIDEO_1080p_v01.mp4</x:v>
      </x:c>
      <x:c r="H17" s="42" t="str">
        <x:v>https://www.tiktok.com/@noctaliadreams/video/7672916773661838614</x:v>
      </x:c>
      <x:c r="I17" s="42" t="str">
        <x:v>Vues</x:v>
      </x:c>
      <x:c r="J17" s="45" t="n">
        <x:v>798</x:v>
      </x:c>
      <x:c r="K17" s="45" t="n">
        <x:v>15</x:v>
      </x:c>
      <x:c r="L17" s="45"/>
      <x:c r="M17" s="45"/>
      <x:c r="N17" s="45"/>
      <x:c r="O17" s="42" t="str">
        <x:v>TikTok Studio + registre Noctalia</x:v>
      </x:c>
      <x:c r="P17" s="43" t="n">
        <x:v>46268</x:v>
      </x:c>
      <x:c r="Q17" s="42" t="str">
        <x:v>Mesure native; commentaires et partages non exposés dans ce relevé</x:v>
      </x:c>
      <x:c r="R17" s="42" t="str">
        <x:f>A17&amp;"|"&amp;TEXT(J17,"0")</x:f>
        <x:v>TikTok|798</x:v>
      </x:c>
    </x:row>
    <x:row r="18">
      <x:c r="A18" s="42" t="str">
        <x:v>TikTok</x:v>
      </x:c>
      <x:c r="B18" s="43" t="n">
        <x:v>46266</x:v>
      </x:c>
      <x:c r="C18" s="42" t="str">
        <x:v>15:30</x:v>
      </x:c>
      <x:c r="D18" s="42" t="str">
        <x:v>C1</x:v>
      </x:c>
      <x:c r="E18" s="44" t="str">
        <x:v>TikTok:7680254233572068630</x:v>
      </x:c>
      <x:c r="F18" s="42" t="str">
        <x:v>Afterglow turns a rainy city into a hologram. Which light would you follow?</x:v>
      </x:c>
      <x:c r="G18" s="42" t="str">
        <x:v>AFTERGLOW_NEON_NOIR_HOLOGRAPHIC_THRILLER_02_V2.mp4</x:v>
      </x:c>
      <x:c r="H18" s="42" t="str">
        <x:v>https://www.tiktok.com/@noctaliadreams/video/7680254233572068630</x:v>
      </x:c>
      <x:c r="I18" s="42" t="str">
        <x:v>Vues</x:v>
      </x:c>
      <x:c r="J18" s="45" t="n">
        <x:v>133</x:v>
      </x:c>
      <x:c r="K18" s="45" t="n">
        <x:v>7</x:v>
      </x:c>
      <x:c r="L18" s="45"/>
      <x:c r="M18" s="45" t="n">
        <x:v>0</x:v>
      </x:c>
      <x:c r="N18" s="45"/>
      <x:c r="O18" s="42" t="str">
        <x:v>TikTok Studio — liste de contenu</x:v>
      </x:c>
      <x:c r="P18" s="43" t="n">
        <x:v>46268</x:v>
      </x:c>
      <x:c r="Q18" s="42" t="str">
        <x:v>Publication visible dans Studio; registre local à réconcilier; partages non exposés</x:v>
      </x:c>
      <x:c r="R18" s="42" t="str">
        <x:f>A18&amp;"|"&amp;TEXT(J18,"0")</x:f>
        <x:v>TikTok|133</x:v>
      </x:c>
    </x:row>
    <x:row r="19">
      <x:c r="A19" s="42" t="str">
        <x:v>TikTok</x:v>
      </x:c>
      <x:c r="B19" s="43" t="n">
        <x:v>46266</x:v>
      </x:c>
      <x:c r="C19" s="42" t="str">
        <x:v>19:30</x:v>
      </x:c>
      <x:c r="D19" s="42" t="str">
        <x:v>C2</x:v>
      </x:c>
      <x:c r="E19" s="44" t="str">
        <x:v>TikTok:7680580474598673686</x:v>
      </x:c>
      <x:c r="F19" s="42" t="str">
        <x:v>A city glows beneath an endless ocean. Would you dive toward it?</x:v>
      </x:c>
      <x:c r="G19" s="42" t="str">
        <x:v>DAY_OCEANPUNK_ABYSSAL_BIOLUMINESCENT_02.mp4</x:v>
      </x:c>
      <x:c r="H19" s="42" t="str">
        <x:v>https://www.tiktok.com/@noctaliadreams/video/7680580474598673686</x:v>
      </x:c>
      <x:c r="I19" s="42" t="str">
        <x:v>Vues</x:v>
      </x:c>
      <x:c r="J19" s="45" t="n">
        <x:v>494</x:v>
      </x:c>
      <x:c r="K19" s="45" t="n">
        <x:v>15</x:v>
      </x:c>
      <x:c r="L19" s="45"/>
      <x:c r="M19" s="45" t="n">
        <x:v>0</x:v>
      </x:c>
      <x:c r="N19" s="45"/>
      <x:c r="O19" s="42" t="str">
        <x:v>TikTok Studio + registre Noctalia</x:v>
      </x:c>
      <x:c r="P19" s="43" t="n">
        <x:v>46268</x:v>
      </x:c>
      <x:c r="Q19" s="42" t="str">
        <x:v>Mesure native; partages non exposés</x:v>
      </x:c>
      <x:c r="R19" s="42" t="str">
        <x:f>A19&amp;"|"&amp;TEXT(J19,"0")</x:f>
        <x:v>TikTok|494</x:v>
      </x:c>
    </x:row>
    <x:row r="20">
      <x:c r="A20" s="42" t="str">
        <x:v>TikTok</x:v>
      </x:c>
      <x:c r="B20" s="43" t="n">
        <x:v>46266</x:v>
      </x:c>
      <x:c r="C20" s="42" t="str">
        <x:v>22:30</x:v>
      </x:c>
      <x:c r="D20" s="42" t="str">
        <x:v>C3</x:v>
      </x:c>
      <x:c r="E20" s="44" t="str">
        <x:v>TikTok:7680626112761695490</x:v>
      </x:c>
      <x:c r="F20" s="42" t="str">
        <x:v>Sunset reaches the city beneath the waves. Would you follow its glow?</x:v>
      </x:c>
      <x:c r="G20" s="42" t="str">
        <x:v>SUNSET_OCEANPUNK_ABYSSAL_BIOLUMINESCENT_02.mp4</x:v>
      </x:c>
      <x:c r="H20" s="42" t="str">
        <x:v>https://www.tiktok.com/@noctaliadreams/video/7680626112761695490</x:v>
      </x:c>
      <x:c r="I20" s="42" t="str">
        <x:v>Vues</x:v>
      </x:c>
      <x:c r="J20" s="45" t="n">
        <x:v>172</x:v>
      </x:c>
      <x:c r="K20" s="45" t="n">
        <x:v>13</x:v>
      </x:c>
      <x:c r="L20" s="45"/>
      <x:c r="M20" s="45" t="n">
        <x:v>0</x:v>
      </x:c>
      <x:c r="N20" s="45"/>
      <x:c r="O20" s="42" t="str">
        <x:v>TikTok Studio — liste de contenu</x:v>
      </x:c>
      <x:c r="P20" s="43" t="n">
        <x:v>46268</x:v>
      </x:c>
      <x:c r="Q20" s="42" t="str">
        <x:v>Publication visible dans Studio; registre local à réconcilier; partages non exposés</x:v>
      </x:c>
      <x:c r="R20" s="42" t="str">
        <x:f>A20&amp;"|"&amp;TEXT(J20,"0")</x:f>
        <x:v>TikTok|172</x:v>
      </x:c>
    </x:row>
    <x:row r="21">
      <x:c r="A21" s="42" t="str">
        <x:v>TikTok</x:v>
      </x:c>
      <x:c r="B21" s="43" t="n">
        <x:v>46267</x:v>
      </x:c>
      <x:c r="C21" s="42" t="str">
        <x:v>15:30</x:v>
      </x:c>
      <x:c r="D21" s="42" t="str">
        <x:v>C1</x:v>
      </x:c>
      <x:c r="E21" s="44" t="str">
        <x:v>TikTok:7680669597275573526</x:v>
      </x:c>
      <x:c r="F21" s="42" t="str">
        <x:v>Afterglow drifts through a bioluminescent city. Would you swim closer?</x:v>
      </x:c>
      <x:c r="G21" s="42" t="str">
        <x:v>AFTERGLOW_OCEANPUNK_ABYSSAL_BIOLUMINESCENT_02.mp4</x:v>
      </x:c>
      <x:c r="H21" s="42" t="str">
        <x:v>https://www.tiktok.com/@noctaliadreams/video/7680669597275573526</x:v>
      </x:c>
      <x:c r="I21" s="42" t="str">
        <x:v>Vues</x:v>
      </x:c>
      <x:c r="J21" s="45" t="n">
        <x:v>252</x:v>
      </x:c>
      <x:c r="K21" s="45" t="n">
        <x:v>4</x:v>
      </x:c>
      <x:c r="L21" s="45"/>
      <x:c r="M21" s="45" t="n">
        <x:v>0</x:v>
      </x:c>
      <x:c r="N21" s="45"/>
      <x:c r="O21" s="42" t="str">
        <x:v>TikTok Studio + registre Noctalia</x:v>
      </x:c>
      <x:c r="P21" s="43" t="n">
        <x:v>46268</x:v>
      </x:c>
      <x:c r="Q21" s="42" t="str">
        <x:v>Mesure native; partages non exposés</x:v>
      </x:c>
      <x:c r="R21" s="42" t="str">
        <x:f>A21&amp;"|"&amp;TEXT(J21,"0")</x:f>
        <x:v>TikTok|252</x:v>
      </x:c>
    </x:row>
    <x:row r="22">
      <x:c r="A22" s="42" t="str">
        <x:v>TikTok</x:v>
      </x:c>
      <x:c r="B22" s="43" t="n">
        <x:v>46267</x:v>
      </x:c>
      <x:c r="C22" s="42" t="str">
        <x:v>19:30</x:v>
      </x:c>
      <x:c r="D22" s="42" t="str">
        <x:v>C2</x:v>
      </x:c>
      <x:c r="E22" s="44" t="str">
        <x:v>TikTok:7680939909875649795</x:v>
      </x:c>
      <x:c r="F22" s="42" t="str">
        <x:v>At night, the abyss becomes a city of stars. Would you enter it?</x:v>
      </x:c>
      <x:c r="G22" s="42" t="str">
        <x:v>NIGHT_OCEANPUNK_ABYSSAL_BIOLUMINESCENT_02.mp4</x:v>
      </x:c>
      <x:c r="H22" s="42" t="str">
        <x:v>https://www.tiktok.com/@noctaliadreams/video/7680939909875649795</x:v>
      </x:c>
      <x:c r="I22" s="42" t="str">
        <x:v>Vues</x:v>
      </x:c>
      <x:c r="J22" s="45" t="n">
        <x:v>352</x:v>
      </x:c>
      <x:c r="K22" s="45" t="n">
        <x:v>17</x:v>
      </x:c>
      <x:c r="L22" s="45"/>
      <x:c r="M22" s="45" t="n">
        <x:v>0</x:v>
      </x:c>
      <x:c r="N22" s="45"/>
      <x:c r="O22" s="42" t="str">
        <x:v>TikTok Studio + registre Noctalia</x:v>
      </x:c>
      <x:c r="P22" s="43" t="n">
        <x:v>46268</x:v>
      </x:c>
      <x:c r="Q22" s="42" t="str">
        <x:v>Mesure native; partages non exposés</x:v>
      </x:c>
      <x:c r="R22" s="42" t="str">
        <x:f>A22&amp;"|"&amp;TEXT(J22,"0")</x:f>
        <x:v>TikTok|352</x:v>
      </x:c>
    </x:row>
    <x:row r="23">
      <x:c r="A23" s="42" t="str">
        <x:v>TikTok</x:v>
      </x:c>
      <x:c r="B23" s="43" t="n">
        <x:v>46267</x:v>
      </x:c>
      <x:c r="C23" s="42" t="str">
        <x:v>22:30</x:v>
      </x:c>
      <x:c r="D23" s="42" t="str">
        <x:v>C3</x:v>
      </x:c>
      <x:c r="E23" s="44" t="str">
        <x:v>TikTok:7680994913994968322</x:v>
      </x:c>
      <x:c r="F23" s="42" t="str">
        <x:v>A city of basalt rises between rivers of fire. Would you cross it?</x:v>
      </x:c>
      <x:c r="G23" s="42" t="str">
        <x:v>DAY_VOLCANOPUNK_BASALT_LAVA_02.mp4</x:v>
      </x:c>
      <x:c r="H23" s="42" t="str">
        <x:v>https://www.tiktok.com/@noctaliadreams/video/7680994913994968322</x:v>
      </x:c>
      <x:c r="I23" s="42" t="str">
        <x:v>Vues</x:v>
      </x:c>
      <x:c r="J23" s="45" t="n">
        <x:v>122</x:v>
      </x:c>
      <x:c r="K23" s="45" t="n">
        <x:v>2</x:v>
      </x:c>
      <x:c r="L23" s="45"/>
      <x:c r="M23" s="45" t="n">
        <x:v>0</x:v>
      </x:c>
      <x:c r="N23" s="45"/>
      <x:c r="O23" s="42" t="str">
        <x:v>TikTok Studio + registre Noctalia</x:v>
      </x:c>
      <x:c r="P23" s="43" t="n">
        <x:v>46268</x:v>
      </x:c>
      <x:c r="Q23" s="42" t="str">
        <x:v>Mesure native; partages non exposés</x:v>
      </x:c>
      <x:c r="R23" s="42" t="str">
        <x:f>A23&amp;"|"&amp;TEXT(J23,"0")</x:f>
        <x:v>TikTok|122</x:v>
      </x:c>
    </x:row>
    <x:row r="24">
      <x:c r="A24" s="42" t="str">
        <x:v>TikTok</x:v>
      </x:c>
      <x:c r="B24" s="43" t="n">
        <x:v>46268</x:v>
      </x:c>
      <x:c r="C24" s="42" t="str">
        <x:v>15:30</x:v>
      </x:c>
      <x:c r="D24" s="42" t="str">
        <x:v>C1</x:v>
      </x:c>
      <x:c r="E24" s="44" t="str">
        <x:v>TikTok:7681042462269361430</x:v>
      </x:c>
      <x:c r="F24" s="42" t="str">
        <x:v>At sunset, a city burns without turning to ash. Would you explore it?</x:v>
      </x:c>
      <x:c r="G24" s="42" t="str">
        <x:v>SUNSET_VOLCANOPUNK_BASALT_LAVA_02.mp4</x:v>
      </x:c>
      <x:c r="H24" s="42" t="str">
        <x:v>https://www.tiktok.com/@noctaliadreams/video/7681042462269361430</x:v>
      </x:c>
      <x:c r="I24" s="42" t="str">
        <x:v>Vues</x:v>
      </x:c>
      <x:c r="J24" s="45" t="n">
        <x:v>0</x:v>
      </x:c>
      <x:c r="K24" s="45" t="n">
        <x:v>0</x:v>
      </x:c>
      <x:c r="L24" s="45"/>
      <x:c r="M24" s="45" t="n">
        <x:v>0</x:v>
      </x:c>
      <x:c r="N24" s="45"/>
      <x:c r="O24" s="42" t="str">
        <x:v>TikTok Studio — ligne du jour</x:v>
      </x:c>
      <x:c r="P24" s="43" t="n">
        <x:v>46268</x:v>
      </x:c>
      <x:c r="Q24" s="42" t="str">
        <x:v>Mesure très précoce/non stabilisée; ne pas utiliser pour conclure sur le créneau</x:v>
      </x:c>
      <x:c r="R24" s="42" t="str">
        <x:f>A24&amp;"|"&amp;TEXT(J24,"0")</x:f>
        <x:v>TikTok|0</x:v>
      </x:c>
    </x:row>
    <x:row r="25">
      <x:c r="A25" s="42" t="str">
        <x:v>Instagram</x:v>
      </x:c>
      <x:c r="B25" s="43" t="n">
        <x:v>46257</x:v>
      </x:c>
      <x:c r="C25" s="42" t="str">
        <x:v>19:45</x:v>
      </x:c>
      <x:c r="D25" s="42" t="str">
        <x:v>C2</x:v>
      </x:c>
      <x:c r="E25" s="44" t="str">
        <x:v>Instagram:3970221749469266345</x:v>
      </x:c>
      <x:c r="F25" s="42" t="str">
        <x:v>A memory circles you like smoke. Would you follow it?</x:v>
      </x:c>
      <x:c r="G25" s="42" t="str">
        <x:v>NOC_REVEIL_S06_VIDEO_1080p_v01.mp4</x:v>
      </x:c>
      <x:c r="H25" s="42" t="str">
        <x:v>https://www.instagram.com/noctaliadreams/reel/DcZD6VgpUGp/</x:v>
      </x:c>
      <x:c r="I25" s="42" t="str">
        <x:v>Vues</x:v>
      </x:c>
      <x:c r="J25" s="45" t="n">
        <x:v>2474</x:v>
      </x:c>
      <x:c r="K25" s="45" t="n">
        <x:v>18</x:v>
      </x:c>
      <x:c r="L25" s="45" t="n">
        <x:v>0</x:v>
      </x:c>
      <x:c r="M25" s="45" t="n">
        <x:v>0</x:v>
      </x:c>
      <x:c r="N25" s="45" t="n">
        <x:v>2</x:v>
      </x:c>
      <x:c r="O25" s="42" t="str">
        <x:v>Instagram Professional Dashboard — 30 jours</x:v>
      </x:c>
      <x:c r="P25" s="43" t="n">
        <x:v>46268</x:v>
      </x:c>
      <x:c r="Q25" s="42" t="str">
        <x:v>Mesure native: 2 101 comptes touchés, 22 engagés, 6 nouveaux abonnés</x:v>
      </x:c>
      <x:c r="R25" s="42" t="str">
        <x:f>A25&amp;"|"&amp;TEXT(J25,"0")</x:f>
        <x:v>Instagram|2474</x:v>
      </x:c>
    </x:row>
    <x:row r="26">
      <x:c r="A26" s="42" t="str">
        <x:v>Instagram</x:v>
      </x:c>
      <x:c r="B26" s="43" t="n">
        <x:v>46256</x:v>
      </x:c>
      <x:c r="C26" s="42" t="str">
        <x:v>22:45</x:v>
      </x:c>
      <x:c r="D26" s="42" t="str">
        <x:v>C3</x:v>
      </x:c>
      <x:c r="E26" s="44" t="str">
        <x:v>Instagram:3969589782839217356</x:v>
      </x:c>
      <x:c r="F26" s="42" t="str">
        <x:v>Your reflection wakes before you do. What would it say?</x:v>
      </x:c>
      <x:c r="G26" s="42" t="str">
        <x:v>NOC_REVEIL_S04_VIDEO_1080p_v01.mp4</x:v>
      </x:c>
      <x:c r="H26" s="42" t="str">
        <x:v>https://www.instagram.com/reel/DcW0OAuJszM/</x:v>
      </x:c>
      <x:c r="I26" s="42" t="str">
        <x:v>Vues</x:v>
      </x:c>
      <x:c r="J26" s="45" t="n">
        <x:v>1842</x:v>
      </x:c>
      <x:c r="K26" s="45" t="n">
        <x:v>22</x:v>
      </x:c>
      <x:c r="L26" s="45" t="n">
        <x:v>0</x:v>
      </x:c>
      <x:c r="M26" s="45" t="n">
        <x:v>0</x:v>
      </x:c>
      <x:c r="N26" s="45" t="n">
        <x:v>3</x:v>
      </x:c>
      <x:c r="O26" s="42" t="str">
        <x:v>Instagram Professional Dashboard — 30 jours</x:v>
      </x:c>
      <x:c r="P26" s="43" t="n">
        <x:v>46268</x:v>
      </x:c>
      <x:c r="Q26" s="42" t="str">
        <x:v>Mesure native: 1 444 comptes touchés, 24 engagés, 7 nouveaux abonnés; registre local à réconcilier</x:v>
      </x:c>
      <x:c r="R26" s="42" t="str">
        <x:f>A26&amp;"|"&amp;TEXT(J26,"0")</x:f>
        <x:v>Instagram|1842</x:v>
      </x:c>
    </x:row>
    <x:row r="27">
      <x:c r="A27" s="42" t="str">
        <x:v>X</x:v>
      </x:c>
      <x:c r="B27" s="43" t="n">
        <x:v>46234</x:v>
      </x:c>
      <x:c r="C27" s="42" t="str">
        <x:v>20:15</x:v>
      </x:c>
      <x:c r="D27" s="42" t="str">
        <x:v>C2</x:v>
      </x:c>
      <x:c r="E27" s="44" t="str">
        <x:v>X:2083255119722815645</x:v>
      </x:c>
      <x:c r="F27" s="42" t="str">
        <x:v>Escalier impossible</x:v>
      </x:c>
      <x:c r="G27" s="42" t="str">
        <x:v>01-escalier.mp4</x:v>
      </x:c>
      <x:c r="H27" s="42" t="str">
        <x:v>https://x.com/NoctaliaDreams/status/2083255119722815645</x:v>
      </x:c>
      <x:c r="I27" s="42" t="str">
        <x:v>Vues</x:v>
      </x:c>
      <x:c r="J27" s="45" t="n">
        <x:v>21</x:v>
      </x:c>
      <x:c r="K27" s="45" t="n">
        <x:v>0</x:v>
      </x:c>
      <x:c r="L27" s="45" t="n">
        <x:v>0</x:v>
      </x:c>
      <x:c r="M27" s="45"/>
      <x:c r="N27" s="45"/>
      <x:c r="O27" s="42" t="str">
        <x:v>Recherche publique X — from:NoctaliaDreams filter:videos</x:v>
      </x:c>
      <x:c r="P27" s="43" t="n">
        <x:v>46268</x:v>
      </x:c>
      <x:c r="Q27" s="42" t="str">
        <x:v>Échantillon public partiel; pas d'analytics propriétaire</x:v>
      </x:c>
      <x:c r="R27" s="42" t="str">
        <x:f>A27&amp;"|"&amp;TEXT(J27,"0")</x:f>
        <x:v>X|21</x:v>
      </x:c>
    </x:row>
    <x:row r="28">
      <x:c r="A28" s="42" t="str">
        <x:v>X</x:v>
      </x:c>
      <x:c r="B28" s="43" t="n">
        <x:v>46240</x:v>
      </x:c>
      <x:c r="C28" s="42" t="str">
        <x:v>20:15</x:v>
      </x:c>
      <x:c r="D28" s="42" t="str">
        <x:v>C2</x:v>
      </x:c>
      <x:c r="E28" s="44" t="str">
        <x:v>X:2085429447122174447</x:v>
      </x:c>
      <x:c r="F28" s="42" t="str">
        <x:v>Cascade ascendante</x:v>
      </x:c>
      <x:c r="G28" s="42" t="str">
        <x:v>69-cascade-ascendante.mp4</x:v>
      </x:c>
      <x:c r="H28" s="42" t="str">
        <x:v>https://x.com/NoctaliaDreams/status/2085429447122174447</x:v>
      </x:c>
      <x:c r="I28" s="42" t="str">
        <x:v>Vues</x:v>
      </x:c>
      <x:c r="J28" s="45" t="n">
        <x:v>7</x:v>
      </x:c>
      <x:c r="K28" s="45"/>
      <x:c r="L28" s="45"/>
      <x:c r="M28" s="45"/>
      <x:c r="N28" s="45"/>
      <x:c r="O28" s="42" t="str">
        <x:v>Recherche publique X — from:NoctaliaDreams filter:videos</x:v>
      </x:c>
      <x:c r="P28" s="43" t="n">
        <x:v>46268</x:v>
      </x:c>
      <x:c r="Q28" s="42" t="str">
        <x:v>Échantillon public partiel; réactions non exposées dans le relevé</x:v>
      </x:c>
      <x:c r="R28" s="42" t="str">
        <x:f>A28&amp;"|"&amp;TEXT(J28,"0")</x:f>
        <x:v>X|7</x:v>
      </x:c>
    </x:row>
    <x:row r="29">
      <x:c r="A29" s="42" t="str">
        <x:v>X</x:v>
      </x:c>
      <x:c r="B29" s="43" t="n">
        <x:v>46246</x:v>
      </x:c>
      <x:c r="C29" s="42" t="str">
        <x:v>16:15</x:v>
      </x:c>
      <x:c r="D29" s="42" t="str">
        <x:v>C1</x:v>
      </x:c>
      <x:c r="E29" s="44" t="str">
        <x:v>X:2087543376233324924</x:v>
      </x:c>
      <x:c r="F29" s="42" t="str">
        <x:v>Would you follow this dream above the clouds?</x:v>
      </x:c>
      <x:c r="G29" s="42" t="str">
        <x:v>01-levitation-envol.mp4</x:v>
      </x:c>
      <x:c r="H29" s="42" t="str">
        <x:v>https://x.com/NoctaliaDreams/status/2087543376233324924</x:v>
      </x:c>
      <x:c r="I29" s="42" t="str">
        <x:v>Vues</x:v>
      </x:c>
      <x:c r="J29" s="45" t="n">
        <x:v>10</x:v>
      </x:c>
      <x:c r="K29" s="45"/>
      <x:c r="L29" s="45"/>
      <x:c r="M29" s="45"/>
      <x:c r="N29" s="45"/>
      <x:c r="O29" s="42" t="str">
        <x:v>Recherche publique X — from:NoctaliaDreams filter:videos</x:v>
      </x:c>
      <x:c r="P29" s="43" t="n">
        <x:v>46268</x:v>
      </x:c>
      <x:c r="Q29" s="42" t="str">
        <x:v>Échantillon public partiel; réactions non exposées dans le relevé</x:v>
      </x:c>
      <x:c r="R29" s="42" t="str">
        <x:f>A29&amp;"|"&amp;TEXT(J29,"0")</x:f>
        <x:v>X|10</x:v>
      </x:c>
    </x:row>
    <x:row r="30">
      <x:c r="A30" s="42" t="str">
        <x:v>X</x:v>
      </x:c>
      <x:c r="B30" s="43" t="n">
        <x:v>46250</x:v>
      </x:c>
      <x:c r="C30" s="42" t="str">
        <x:v>16:15</x:v>
      </x:c>
      <x:c r="D30" s="42" t="str">
        <x:v>C1</x:v>
      </x:c>
      <x:c r="E30" s="44" t="str">
        <x:v>X:2088992927599222981</x:v>
      </x:c>
      <x:c r="F30" s="42" t="str">
        <x:v>What would your reflection do in this dream?</x:v>
      </x:c>
      <x:c r="G30" s="42" t="str">
        <x:v>09-monde-miroir-brisure.mp4</x:v>
      </x:c>
      <x:c r="H30" s="42" t="str">
        <x:v>https://x.com/NoctaliaDreams/status/2088992927599222981</x:v>
      </x:c>
      <x:c r="I30" s="42" t="str">
        <x:v>Vues</x:v>
      </x:c>
      <x:c r="J30" s="45" t="n">
        <x:v>18</x:v>
      </x:c>
      <x:c r="K30" s="45" t="n">
        <x:v>1</x:v>
      </x:c>
      <x:c r="L30" s="45" t="n">
        <x:v>1</x:v>
      </x:c>
      <x:c r="M30" s="45"/>
      <x:c r="N30" s="45"/>
      <x:c r="O30" s="42" t="str">
        <x:v>Recherche publique X — from:NoctaliaDreams filter:videos</x:v>
      </x:c>
      <x:c r="P30" s="43" t="n">
        <x:v>46268</x:v>
      </x:c>
      <x:c r="Q30" s="42" t="str">
        <x:v>Échantillon public partiel; pas d'analytics propriétaire</x:v>
      </x:c>
      <x:c r="R30" s="42" t="str">
        <x:f>A30&amp;"|"&amp;TEXT(J30,"0")</x:f>
        <x:v>X|18</x:v>
      </x:c>
    </x:row>
    <x:row r="31">
      <x:c r="A31" s="42" t="str">
        <x:v>YouTube</x:v>
      </x:c>
      <x:c r="B31" s="43" t="n">
        <x:v>46247</x:v>
      </x:c>
      <x:c r="C31" s="42" t="str">
        <x:v>18:00</x:v>
      </x:c>
      <x:c r="D31" s="42" t="str">
        <x:v>HERO</x:v>
      </x:c>
      <x:c r="E31" s="44" t="str">
        <x:v>YouTube:RNY9UIozIKE</x:v>
      </x:c>
      <x:c r="F31" s="42" t="str">
        <x:v>How to Remember Three Dream Details #Shorts</x:v>
      </x:c>
      <x:c r="G31" s="42" t="str">
        <x:v>03-ville-engloutie-eruption.mp4</x:v>
      </x:c>
      <x:c r="H31" s="42" t="str">
        <x:v>https://youtube.com/shorts/RNY9UIozIKE</x:v>
      </x:c>
      <x:c r="I31" s="42" t="str">
        <x:v>Vues</x:v>
      </x:c>
      <x:c r="J31" s="45" t="n">
        <x:v>622</x:v>
      </x:c>
      <x:c r="K31" s="45"/>
      <x:c r="L31" s="45"/>
      <x:c r="M31" s="45" t="n">
        <x:v>0</x:v>
      </x:c>
      <x:c r="N31" s="45"/>
      <x:c r="O31" s="42" t="str">
        <x:v>YouTube Studio — Shorts triés par vues</x:v>
      </x:c>
      <x:c r="P31" s="43" t="n">
        <x:v>46268</x:v>
      </x:c>
      <x:c r="Q31" s="42" t="str">
        <x:v>Likes et partages non exposés dans le tableau relevé</x:v>
      </x:c>
      <x:c r="R31" s="42" t="str">
        <x:f>A31&amp;"|"&amp;TEXT(J31,"0")</x:f>
        <x:v>YouTube|622</x:v>
      </x:c>
    </x:row>
    <x:row r="32">
      <x:c r="A32" s="42" t="str">
        <x:v>YouTube</x:v>
      </x:c>
      <x:c r="B32" s="43" t="n">
        <x:v>46252</x:v>
      </x:c>
      <x:c r="C32" s="42" t="str">
        <x:v>18:00</x:v>
      </x:c>
      <x:c r="D32" s="42" t="str">
        <x:v>HERO</x:v>
      </x:c>
      <x:c r="E32" s="44" t="str">
        <x:v>YouTube:od7v_J3fPZQ</x:v>
      </x:c>
      <x:c r="F32" s="42" t="str">
        <x:v>Where Would You Go First in This Dream City? #Shorts</x:v>
      </x:c>
      <x:c r="G32" s="42" t="str">
        <x:v>HIGGS_2026-08-05_171605_CITY_POV_C_cecd94a1.mp4</x:v>
      </x:c>
      <x:c r="H32" s="42" t="str">
        <x:v>https://www.youtube.com/shorts/od7v_J3fPZQ</x:v>
      </x:c>
      <x:c r="I32" s="42" t="str">
        <x:v>Vues</x:v>
      </x:c>
      <x:c r="J32" s="45" t="n">
        <x:v>316</x:v>
      </x:c>
      <x:c r="K32" s="45"/>
      <x:c r="L32" s="45"/>
      <x:c r="M32" s="45" t="n">
        <x:v>0</x:v>
      </x:c>
      <x:c r="N32" s="45"/>
      <x:c r="O32" s="42" t="str">
        <x:v>YouTube Studio — Shorts triés par vues</x:v>
      </x:c>
      <x:c r="P32" s="43" t="n">
        <x:v>46268</x:v>
      </x:c>
      <x:c r="Q32" s="42" t="str">
        <x:v>Likes et partages non exposés dans le tableau relevé</x:v>
      </x:c>
      <x:c r="R32" s="42" t="str">
        <x:f>A32&amp;"|"&amp;TEXT(J32,"0")</x:f>
        <x:v>YouTube|316</x:v>
      </x:c>
    </x:row>
    <x:row r="33">
      <x:c r="A33" s="42" t="str">
        <x:v>Facebook</x:v>
      </x:c>
      <x:c r="B33" s="43" t="n">
        <x:v>46265</x:v>
      </x:c>
      <x:c r="C33" s="42" t="str">
        <x:v>18:16</x:v>
      </x:c>
      <x:c r="D33" s="42" t="str">
        <x:v>HERO</x:v>
      </x:c>
      <x:c r="E33" s="44" t="str">
        <x:v>Facebook:4662153027439937</x:v>
      </x:c>
      <x:c r="F33" s="42" t="str">
        <x:v>Do not force an interpretation on the first morning</x:v>
      </x:c>
      <x:c r="G33" s="42" t="str">
        <x:v>NIGHT_LUNARPUNK_SILVER_LUNAR_02.mp4</x:v>
      </x:c>
      <x:c r="H33" s="42" t="str">
        <x:v>https://www.facebook.com/reel/4662153027439937</x:v>
      </x:c>
      <x:c r="I33" s="42" t="str">
        <x:v>Vues</x:v>
      </x:c>
      <x:c r="J33" s="45" t="n">
        <x:v>51308</x:v>
      </x:c>
      <x:c r="K33" s="45" t="n">
        <x:v>661</x:v>
      </x:c>
      <x:c r="L33" s="45" t="n">
        <x:v>2</x:v>
      </x:c>
      <x:c r="M33" s="45" t="n">
        <x:v>1</x:v>
      </x:c>
      <x:c r="N33" s="45" t="n">
        <x:v>6</x:v>
      </x:c>
      <x:c r="O33" s="42" t="str">
        <x:v>Meta Business Suite — 28 jours (05/08–01/09)</x:v>
      </x:c>
      <x:c r="P33" s="43" t="n">
        <x:v>46268</x:v>
      </x:c>
      <x:c r="Q33" s="42" t="str">
        <x:v>Mesure native: 34 213 spectateurs, 670 interactions, durée moyenne 10 s; registre local à réconcilier</x:v>
      </x:c>
      <x:c r="R33" s="42" t="str">
        <x:f>A33&amp;"|"&amp;TEXT(J33,"0")</x:f>
        <x:v>Facebook|51308</x:v>
      </x:c>
    </x:row>
    <x:row r="34">
      <x:c r="A34" s="42" t="str">
        <x:v>Facebook</x:v>
      </x:c>
      <x:c r="B34" s="43" t="n">
        <x:v>46257</x:v>
      </x:c>
      <x:c r="C34" s="42" t="str">
        <x:v>12:30</x:v>
      </x:c>
      <x:c r="D34" s="42" t="str">
        <x:v>ARCHIVE</x:v>
      </x:c>
      <x:c r="E34" s="44" t="str">
        <x:v>Facebook:1548642119710246</x:v>
      </x:c>
      <x:c r="F34" s="42" t="str">
        <x:v>Prairie des lanternes</x:v>
      </x:c>
      <x:c r="G34" s="42" t="str">
        <x:v>68-prairie-des-lanternes.mp4</x:v>
      </x:c>
      <x:c r="H34" s="42" t="str">
        <x:v>https://www.facebook.com/reel/1548642119710246</x:v>
      </x:c>
      <x:c r="I34" s="42" t="str">
        <x:v>Vues</x:v>
      </x:c>
      <x:c r="J34" s="45" t="n">
        <x:v>1462</x:v>
      </x:c>
      <x:c r="K34" s="45" t="n">
        <x:v>57</x:v>
      </x:c>
      <x:c r="L34" s="45" t="n">
        <x:v>4</x:v>
      </x:c>
      <x:c r="M34" s="45" t="n">
        <x:v>0</x:v>
      </x:c>
      <x:c r="N34" s="45" t="n">
        <x:v>1</x:v>
      </x:c>
      <x:c r="O34" s="42" t="str">
        <x:v>Meta Business Suite — 28 jours (05/08–01/09)</x:v>
      </x:c>
      <x:c r="P34" s="43" t="n">
        <x:v>46268</x:v>
      </x:c>
      <x:c r="Q34" s="42" t="str">
        <x:v>Mesure native: 1 253 spectateurs, 62 interactions, durée moyenne 4 s</x:v>
      </x:c>
      <x:c r="R34" s="42" t="str">
        <x:f>A34&amp;"|"&amp;TEXT(J34,"0")</x:f>
        <x:v>Facebook|1462</x:v>
      </x:c>
    </x:row>
    <x:row r="35">
      <x:c r="A35" s="42" t="str">
        <x:v>Facebook</x:v>
      </x:c>
      <x:c r="B35" s="43" t="n">
        <x:v>46255</x:v>
      </x:c>
      <x:c r="C35" s="42" t="str">
        <x:v>18:15</x:v>
      </x:c>
      <x:c r="D35" s="42" t="str">
        <x:v>HERO</x:v>
      </x:c>
      <x:c r="E35" s="44" t="str"/>
      <x:c r="F35" s="42" t="str">
        <x:v>Set one intention before sleep</x:v>
      </x:c>
      <x:c r="G35" s="42" t="str">
        <x:v>HIGGS_2026-08-06_005_FP_CITY.mp4</x:v>
      </x:c>
      <x:c r="H35" s="42" t="str">
        <x:v>https://www.facebook.com/reel/1324844283189236</x:v>
      </x:c>
      <x:c r="I35" s="42" t="str">
        <x:v>Vues</x:v>
      </x:c>
      <x:c r="J35" s="45" t="n">
        <x:v>1042</x:v>
      </x:c>
      <x:c r="K35" s="45" t="n">
        <x:v>9</x:v>
      </x:c>
      <x:c r="L35" s="45" t="n">
        <x:v>5</x:v>
      </x:c>
      <x:c r="M35" s="45" t="n">
        <x:v>1</x:v>
      </x:c>
      <x:c r="N35" s="45" t="n">
        <x:v>1</x:v>
      </x:c>
      <x:c r="O35" s="42" t="str">
        <x:v>Meta Business Suite — 28 jours (05/08–01/09)</x:v>
      </x:c>
      <x:c r="P35" s="43" t="n">
        <x:v>46268</x:v>
      </x:c>
      <x:c r="Q35" s="42" t="str">
        <x:v>Mesure native</x:v>
      </x:c>
      <x:c r="R35" s="42" t="str">
        <x:f>A35&amp;"|"&amp;TEXT(J35,"0")</x:f>
        <x:v>Facebook|1042</x:v>
      </x:c>
    </x:row>
    <x:row r="36">
      <x:c r="A36" s="42" t="str">
        <x:v>Facebook</x:v>
      </x:c>
      <x:c r="B36" s="43" t="n">
        <x:v>46247</x:v>
      </x:c>
      <x:c r="C36" s="42" t="str">
        <x:v>18:16</x:v>
      </x:c>
      <x:c r="D36" s="42" t="str">
        <x:v>HERO</x:v>
      </x:c>
      <x:c r="E36" s="44" t="str">
        <x:v>Facebook:1544614401039270</x:v>
      </x:c>
      <x:c r="F36" s="42" t="str">
        <x:v>Before moving, name three details from your dream</x:v>
      </x:c>
      <x:c r="G36" s="42" t="str">
        <x:v>03-ville-engloutie-eruption.mp4</x:v>
      </x:c>
      <x:c r="H36" s="42" t="str">
        <x:v>https://www.facebook.com/reel/1544614401039270</x:v>
      </x:c>
      <x:c r="I36" s="42" t="str">
        <x:v>Vues</x:v>
      </x:c>
      <x:c r="J36" s="45" t="n">
        <x:v>692</x:v>
      </x:c>
      <x:c r="K36" s="45" t="n">
        <x:v>13</x:v>
      </x:c>
      <x:c r="L36" s="45" t="n">
        <x:v>0</x:v>
      </x:c>
      <x:c r="M36" s="45" t="n">
        <x:v>0</x:v>
      </x:c>
      <x:c r="N36" s="45"/>
      <x:c r="O36" s="42" t="str">
        <x:v>Meta Business Suite — 28 jours (05/08–01/09)</x:v>
      </x:c>
      <x:c r="P36" s="43" t="n">
        <x:v>46268</x:v>
      </x:c>
      <x:c r="Q36" s="42" t="str">
        <x:v>Mesure native; enregistrements non exposés dans le relevé</x:v>
      </x:c>
      <x:c r="R36" s="42" t="str">
        <x:f>A36&amp;"|"&amp;TEXT(J36,"0")</x:f>
        <x:v>Facebook|692</x:v>
      </x:c>
    </x:row>
    <x:row r="37">
      <x:c r="A37" s="42" t="str">
        <x:v>Facebook</x:v>
      </x:c>
      <x:c r="B37" s="43" t="n">
        <x:v>46254</x:v>
      </x:c>
      <x:c r="C37" s="42" t="str">
        <x:v>18:15</x:v>
      </x:c>
      <x:c r="D37" s="42" t="str">
        <x:v>HERO</x:v>
      </x:c>
      <x:c r="E37" s="44" t="str">
        <x:v>Facebook:1416489937207759</x:v>
      </x:c>
      <x:c r="F37" s="42" t="str">
        <x:v>What rule of reality breaks first here?</x:v>
      </x:c>
      <x:c r="G37" s="42" t="str">
        <x:v>HIGGS_2026-08-06_002_FP_CITY.mp4</x:v>
      </x:c>
      <x:c r="H37" s="42" t="str">
        <x:v>https://www.facebook.com/reel/1416489937207759</x:v>
      </x:c>
      <x:c r="I37" s="42" t="str">
        <x:v>Vues</x:v>
      </x:c>
      <x:c r="J37" s="45" t="n">
        <x:v>593</x:v>
      </x:c>
      <x:c r="K37" s="45" t="n">
        <x:v>4</x:v>
      </x:c>
      <x:c r="L37" s="45" t="n">
        <x:v>4</x:v>
      </x:c>
      <x:c r="M37" s="45" t="n">
        <x:v>1</x:v>
      </x:c>
      <x:c r="N37" s="45" t="n">
        <x:v>2</x:v>
      </x:c>
      <x:c r="O37" s="42" t="str">
        <x:v>Meta Business Suite — 28 jours (05/08–01/09)</x:v>
      </x:c>
      <x:c r="P37" s="43" t="n">
        <x:v>46268</x:v>
      </x:c>
      <x:c r="Q37" s="42" t="str">
        <x:v>Mesure native</x:v>
      </x:c>
      <x:c r="R37" s="42" t="str">
        <x:f>A37&amp;"|"&amp;TEXT(J37,"0")</x:f>
        <x:v>Facebook|593</x:v>
      </x:c>
    </x:row>
    <x:row r="38">
      <x:c r="A38" s="42" t="str">
        <x:v>Facebook</x:v>
      </x:c>
      <x:c r="B38" s="43" t="n">
        <x:v>46267</x:v>
      </x:c>
      <x:c r="C38" s="42" t="str">
        <x:v>18:15</x:v>
      </x:c>
      <x:c r="D38" s="42" t="str">
        <x:v>HERO</x:v>
      </x:c>
      <x:c r="E38" s="44" t="str"/>
      <x:c r="F38" s="42" t="str">
        <x:v>Try a sixty-second dream recall</x:v>
      </x:c>
      <x:c r="G38" s="42" t="str">
        <x:v>AFTERGLOW_OCEANPUNK_ABYSSAL_BIOLUMINESCENT_02.mp4</x:v>
      </x:c>
      <x:c r="H38" s="42" t="str"/>
      <x:c r="I38" s="42" t="str">
        <x:v>Vues</x:v>
      </x:c>
      <x:c r="J38" s="45" t="n">
        <x:v>576</x:v>
      </x:c>
      <x:c r="K38" s="45" t="n">
        <x:v>6</x:v>
      </x:c>
      <x:c r="L38" s="45"/>
      <x:c r="M38" s="45"/>
      <x:c r="N38" s="45"/>
      <x:c r="O38" s="42" t="str">
        <x:v>Meta Business Suite — contenu</x:v>
      </x:c>
      <x:c r="P38" s="43" t="n">
        <x:v>46268</x:v>
      </x:c>
      <x:c r="Q38" s="42" t="str">
        <x:v>Mesure native; URL publique non capturée dans le relevé</x:v>
      </x:c>
      <x:c r="R38" s="42" t="str">
        <x:f>A38&amp;"|"&amp;TEXT(J38,"0")</x:f>
        <x:v>Facebook|576</x:v>
      </x:c>
    </x:row>
    <x:row r="39">
      <x:c r="A39" s="42" t="str">
        <x:v>Facebook</x:v>
      </x:c>
      <x:c r="B39" s="43" t="n">
        <x:v>46263</x:v>
      </x:c>
      <x:c r="C39" s="42" t="str">
        <x:v>18:16</x:v>
      </x:c>
      <x:c r="D39" s="42" t="str">
        <x:v>HERO</x:v>
      </x:c>
      <x:c r="E39" s="44" t="str"/>
      <x:c r="F39" s="42" t="str">
        <x:v>Name three details from this frozen dream</x:v>
      </x:c>
      <x:c r="G39" s="42" t="str">
        <x:v>SUNSET_FROSTPUNK_CRYOPUNK_ICE_AURORA_02.mp4</x:v>
      </x:c>
      <x:c r="H39" s="42" t="str"/>
      <x:c r="I39" s="42" t="str">
        <x:v>Vues</x:v>
      </x:c>
      <x:c r="J39" s="45" t="n">
        <x:v>471</x:v>
      </x:c>
      <x:c r="K39" s="45" t="n">
        <x:v>4</x:v>
      </x:c>
      <x:c r="L39" s="45"/>
      <x:c r="M39" s="45"/>
      <x:c r="N39" s="45"/>
      <x:c r="O39" s="42" t="str">
        <x:v>Meta Business Suite — 28 jours (05/08–01/09)</x:v>
      </x:c>
      <x:c r="P39" s="43" t="n">
        <x:v>46268</x:v>
      </x:c>
      <x:c r="Q39" s="42" t="str">
        <x:v>Mesure native; URL publique non capturée dans le relevé</x:v>
      </x:c>
      <x:c r="R39" s="42" t="str">
        <x:f>A39&amp;"|"&amp;TEXT(J39,"0")</x:f>
        <x:v>Facebook|471</x:v>
      </x:c>
    </x:row>
    <x:row r="40">
      <x:c r="A40" s="42" t="str">
        <x:v>Facebook</x:v>
      </x:c>
      <x:c r="B40" s="43" t="n">
        <x:v>46252</x:v>
      </x:c>
      <x:c r="C40" s="42" t="str">
        <x:v>18:16</x:v>
      </x:c>
      <x:c r="D40" s="42" t="str">
        <x:v>HERO</x:v>
      </x:c>
      <x:c r="E40" s="44" t="str">
        <x:v>Facebook:2313760082756350</x:v>
      </x:c>
      <x:c r="F40" s="42" t="str">
        <x:v>Where would you go first in this dream city?</x:v>
      </x:c>
      <x:c r="G40" s="42" t="str">
        <x:v>HIGGS_2026-08-05_171605_CITY_POV_C_cecd94a1.mp4</x:v>
      </x:c>
      <x:c r="H40" s="42" t="str">
        <x:v>https://www.facebook.com/reel/2313760082756350</x:v>
      </x:c>
      <x:c r="I40" s="42" t="str">
        <x:v>Vues</x:v>
      </x:c>
      <x:c r="J40" s="45" t="n">
        <x:v>446</x:v>
      </x:c>
      <x:c r="K40" s="45" t="n">
        <x:v>6</x:v>
      </x:c>
      <x:c r="L40" s="45"/>
      <x:c r="M40" s="45"/>
      <x:c r="N40" s="45"/>
      <x:c r="O40" s="42" t="str">
        <x:v>Meta Business Suite — 28 jours (05/08–01/09)</x:v>
      </x:c>
      <x:c r="P40" s="43" t="n">
        <x:v>46268</x:v>
      </x:c>
      <x:c r="Q40" s="42" t="str">
        <x:v>Mesure native; partages/commentaires non exposés dans le relevé</x:v>
      </x:c>
      <x:c r="R40" s="42" t="str">
        <x:f>A40&amp;"|"&amp;TEXT(J40,"0")</x:f>
        <x:v>Facebook|446</x:v>
      </x:c>
    </x:row>
    <x:row r="41">
      <x:c r="A41" s="42" t="str">
        <x:v>Facebook</x:v>
      </x:c>
      <x:c r="B41" s="43" t="n">
        <x:v>46246</x:v>
      </x:c>
      <x:c r="C41" s="42" t="str">
        <x:v>18:15</x:v>
      </x:c>
      <x:c r="D41" s="42" t="str">
        <x:v>HERO</x:v>
      </x:c>
      <x:c r="E41" s="44" t="str">
        <x:v>Facebook:1815431659804855</x:v>
      </x:c>
      <x:c r="F41" s="42" t="str">
        <x:v>Would you follow this dream above the clouds?</x:v>
      </x:c>
      <x:c r="G41" s="42" t="str">
        <x:v>01-levitation-envol.mp4</x:v>
      </x:c>
      <x:c r="H41" s="42" t="str">
        <x:v>https://www.facebook.com/reel/1815431659804855</x:v>
      </x:c>
      <x:c r="I41" s="42" t="str">
        <x:v>Vues</x:v>
      </x:c>
      <x:c r="J41" s="45" t="n">
        <x:v>414</x:v>
      </x:c>
      <x:c r="K41" s="45" t="n">
        <x:v>5</x:v>
      </x:c>
      <x:c r="L41" s="45"/>
      <x:c r="M41" s="45"/>
      <x:c r="N41" s="45"/>
      <x:c r="O41" s="42" t="str">
        <x:v>Meta Business Suite — 28 jours (05/08–01/09)</x:v>
      </x:c>
      <x:c r="P41" s="43" t="n">
        <x:v>46268</x:v>
      </x:c>
      <x:c r="Q41" s="42" t="str">
        <x:v>Mesure native; partages/commentaires non exposés dans le relevé</x:v>
      </x:c>
      <x:c r="R41" s="42" t="str">
        <x:f>A41&amp;"|"&amp;TEXT(J41,"0")</x:f>
        <x:v>Facebook|414</x:v>
      </x:c>
    </x:row>
    <x:row r="42">
      <x:c r="A42" s="42" t="str">
        <x:v>Facebook</x:v>
      </x:c>
      <x:c r="B42" s="43" t="n">
        <x:v>46248</x:v>
      </x:c>
      <x:c r="C42" s="42" t="str">
        <x:v>18:15</x:v>
      </x:c>
      <x:c r="D42" s="42" t="str">
        <x:v>HERO</x:v>
      </x:c>
      <x:c r="E42" s="44" t="str">
        <x:v>Facebook:875602548747781</x:v>
      </x:c>
      <x:c r="F42" s="42" t="str">
        <x:v>Would this dream forest feel peaceful or dangerous?</x:v>
      </x:c>
      <x:c r="G42" s="42" t="str">
        <x:v>05-foret-bioluminescente-embrasement.mp4</x:v>
      </x:c>
      <x:c r="H42" s="42" t="str">
        <x:v>https://www.facebook.com/reel/875602548747781</x:v>
      </x:c>
      <x:c r="I42" s="42" t="str">
        <x:v>Vues</x:v>
      </x:c>
      <x:c r="J42" s="45" t="n">
        <x:v>382</x:v>
      </x:c>
      <x:c r="K42" s="45" t="n">
        <x:v>7</x:v>
      </x:c>
      <x:c r="L42" s="45"/>
      <x:c r="M42" s="45"/>
      <x:c r="N42" s="45"/>
      <x:c r="O42" s="42" t="str">
        <x:v>Meta Business Suite — 28 jours (05/08–01/09)</x:v>
      </x:c>
      <x:c r="P42" s="43" t="n">
        <x:v>46268</x:v>
      </x:c>
      <x:c r="Q42" s="42" t="str">
        <x:v>Mesure native; partages/commentaires non exposés dans le relevé</x:v>
      </x:c>
      <x:c r="R42" s="42" t="str">
        <x:f>A42&amp;"|"&amp;TEXT(J42,"0")</x:f>
        <x:v>Facebook|382</x:v>
      </x:c>
    </x:row>
    <x:row r="43">
      <x:c r="A43" s="42" t="str">
        <x:v>Facebook</x:v>
      </x:c>
      <x:c r="B43" s="43" t="n">
        <x:v>46257</x:v>
      </x:c>
      <x:c r="C43" s="42" t="str">
        <x:v>18:16</x:v>
      </x:c>
      <x:c r="D43" s="42" t="str">
        <x:v>HERO</x:v>
      </x:c>
      <x:c r="E43" s="44" t="str"/>
      <x:c r="F43" s="42" t="str">
        <x:v>Ask the dream forest one question</x:v>
      </x:c>
      <x:c r="G43" s="42" t="str">
        <x:v>NOC_REVEIL_S05_VIDEO_1080p_v01.mp4</x:v>
      </x:c>
      <x:c r="H43" s="42" t="str"/>
      <x:c r="I43" s="42" t="str">
        <x:v>Vues</x:v>
      </x:c>
      <x:c r="J43" s="45" t="n">
        <x:v>336</x:v>
      </x:c>
      <x:c r="K43" s="45" t="n">
        <x:v>1</x:v>
      </x:c>
      <x:c r="L43" s="45"/>
      <x:c r="M43" s="45"/>
      <x:c r="N43" s="45" t="n">
        <x:v>1</x:v>
      </x:c>
      <x:c r="O43" s="42" t="str">
        <x:v>Meta Business Suite — 28 jours (05/08–01/09)</x:v>
      </x:c>
      <x:c r="P43" s="43" t="n">
        <x:v>46268</x:v>
      </x:c>
      <x:c r="Q43" s="42" t="str">
        <x:v>Mesure native; URL publique non capturée dans le relevé</x:v>
      </x:c>
      <x:c r="R43" s="42" t="str">
        <x:f>A43&amp;"|"&amp;TEXT(J43,"0")</x:f>
        <x:v>Facebook|336</x:v>
      </x:c>
    </x:row>
    <x:row r="44">
      <x:c r="A44" s="42" t="str">
        <x:v>Facebook</x:v>
      </x:c>
      <x:c r="B44" s="43" t="n">
        <x:v>46256</x:v>
      </x:c>
      <x:c r="C44" s="42" t="str">
        <x:v>18:15</x:v>
      </x:c>
      <x:c r="D44" s="42" t="str">
        <x:v>HERO</x:v>
      </x:c>
      <x:c r="E44" s="44" t="str"/>
      <x:c r="F44" s="42" t="str">
        <x:v>Would you stay in this underwater dream?</x:v>
      </x:c>
      <x:c r="G44" s="42" t="str">
        <x:v>NOC_REVEIL_S02_VIDEO_1080p_v01.mp4</x:v>
      </x:c>
      <x:c r="H44" s="42" t="str"/>
      <x:c r="I44" s="42" t="str">
        <x:v>Vues</x:v>
      </x:c>
      <x:c r="J44" s="45" t="n">
        <x:v>334</x:v>
      </x:c>
      <x:c r="K44" s="45" t="n">
        <x:v>1</x:v>
      </x:c>
      <x:c r="L44" s="45"/>
      <x:c r="M44" s="45"/>
      <x:c r="N44" s="45"/>
      <x:c r="O44" s="42" t="str">
        <x:v>Meta Business Suite — 28 jours (05/08–01/09)</x:v>
      </x:c>
      <x:c r="P44" s="43" t="n">
        <x:v>46268</x:v>
      </x:c>
      <x:c r="Q44" s="42" t="str">
        <x:v>Mesure native; URL publique non capturée dans le relevé</x:v>
      </x:c>
      <x:c r="R44" s="42" t="str">
        <x:f>A44&amp;"|"&amp;TEXT(J44,"0")</x:f>
        <x:v>Facebook|334</x:v>
      </x:c>
    </x:row>
    <x:row r="45">
      <x:c r="A45" s="42" t="str">
        <x:v>Facebook</x:v>
      </x:c>
      <x:c r="B45" s="43" t="n">
        <x:v>46264</x:v>
      </x:c>
      <x:c r="C45" s="42" t="str">
        <x:v>18:15</x:v>
      </x:c>
      <x:c r="D45" s="42" t="str">
        <x:v>HERO</x:v>
      </x:c>
      <x:c r="E45" s="44" t="str"/>
      <x:c r="F45" s="42" t="str">
        <x:v>Flowers between planets</x:v>
      </x:c>
      <x:c r="G45" s="42" t="str">
        <x:v>DAY_LUNARPUNK_SILVER_LUNAR_02.mp4</x:v>
      </x:c>
      <x:c r="H45" s="42" t="str"/>
      <x:c r="I45" s="42" t="str">
        <x:v>Vues</x:v>
      </x:c>
      <x:c r="J45" s="45" t="n">
        <x:v>317</x:v>
      </x:c>
      <x:c r="K45" s="45" t="n">
        <x:v>5</x:v>
      </x:c>
      <x:c r="L45" s="45" t="n">
        <x:v>1</x:v>
      </x:c>
      <x:c r="M45" s="45"/>
      <x:c r="N45" s="45"/>
      <x:c r="O45" s="42" t="str">
        <x:v>Meta Business Suite — 28 jours (05/08–01/09)</x:v>
      </x:c>
      <x:c r="P45" s="43" t="n">
        <x:v>46268</x:v>
      </x:c>
      <x:c r="Q45" s="42" t="str">
        <x:v>Mesure native; titre/asset à réconcilier avec la QA du calendrier; URL non capturée</x:v>
      </x:c>
      <x:c r="R45" s="42" t="str">
        <x:f>A45&amp;"|"&amp;TEXT(J45,"0")</x:f>
        <x:v>Facebook|317</x:v>
      </x:c>
    </x:row>
    <x:row r="46">
      <x:c r="A46" s="42" t="str">
        <x:v>Facebook</x:v>
      </x:c>
      <x:c r="B46" s="43" t="n">
        <x:v>46258</x:v>
      </x:c>
      <x:c r="C46" s="42" t="str">
        <x:v>18:15</x:v>
      </x:c>
      <x:c r="D46" s="42" t="str">
        <x:v>HERO</x:v>
      </x:c>
      <x:c r="E46" s="44" t="str"/>
      <x:c r="F46" s="42" t="str">
        <x:v>Wake up or keep exploring?</x:v>
      </x:c>
      <x:c r="G46" s="42" t="str">
        <x:v>NOC_REVEIL_S08_VIDEO_1080p_v01.mp4</x:v>
      </x:c>
      <x:c r="H46" s="42" t="str"/>
      <x:c r="I46" s="42" t="str">
        <x:v>Vues</x:v>
      </x:c>
      <x:c r="J46" s="45" t="n">
        <x:v>273</x:v>
      </x:c>
      <x:c r="K46" s="45" t="n">
        <x:v>3</x:v>
      </x:c>
      <x:c r="L46" s="45" t="n">
        <x:v>1</x:v>
      </x:c>
      <x:c r="M46" s="45"/>
      <x:c r="N46" s="45"/>
      <x:c r="O46" s="42" t="str">
        <x:v>Meta Business Suite — 28 jours (05/08–01/09)</x:v>
      </x:c>
      <x:c r="P46" s="43" t="n">
        <x:v>46268</x:v>
      </x:c>
      <x:c r="Q46" s="42" t="str">
        <x:v>Mesure native; URL publique non capturée dans le relevé</x:v>
      </x:c>
      <x:c r="R46" s="42" t="str">
        <x:f>A46&amp;"|"&amp;TEXT(J46,"0")</x:f>
        <x:v>Facebook|273</x:v>
      </x:c>
    </x:row>
    <x:row r="47">
      <x:c r="A47" s="42" t="str">
        <x:v>Facebook</x:v>
      </x:c>
      <x:c r="B47" s="43" t="n">
        <x:v>46262</x:v>
      </x:c>
      <x:c r="C47" s="42" t="str">
        <x:v>18:16</x:v>
      </x:c>
      <x:c r="D47" s="42" t="str">
        <x:v>HERO</x:v>
      </x:c>
      <x:c r="E47" s="44" t="str"/>
      <x:c r="F47" s="42" t="str">
        <x:v>Would you enter this city of runes?</x:v>
      </x:c>
      <x:c r="G47" s="42" t="str">
        <x:v>AFTERGLOW_ARCANEPUNK_LUMINOUS_RUNE_02.mp4</x:v>
      </x:c>
      <x:c r="H47" s="42" t="str"/>
      <x:c r="I47" s="42" t="str">
        <x:v>Vues</x:v>
      </x:c>
      <x:c r="J47" s="45" t="n">
        <x:v>249</x:v>
      </x:c>
      <x:c r="K47" s="45" t="n">
        <x:v>2</x:v>
      </x:c>
      <x:c r="L47" s="45" t="n">
        <x:v>2</x:v>
      </x:c>
      <x:c r="M47" s="45" t="n">
        <x:v>1</x:v>
      </x:c>
      <x:c r="N47" s="45" t="n">
        <x:v>1</x:v>
      </x:c>
      <x:c r="O47" s="42" t="str">
        <x:v>Meta Business Suite — 28 jours (05/08–01/09)</x:v>
      </x:c>
      <x:c r="P47" s="43" t="n">
        <x:v>46268</x:v>
      </x:c>
      <x:c r="Q47" s="42" t="str">
        <x:v>Mesure native; URL publique non capturée dans le relevé</x:v>
      </x:c>
      <x:c r="R47" s="42" t="str">
        <x:f>A47&amp;"|"&amp;TEXT(J47,"0")</x:f>
        <x:v>Facebook|249</x:v>
      </x:c>
    </x:row>
    <x:row r="48">
      <x:c r="A48" s="42" t="str">
        <x:v>Facebook</x:v>
      </x:c>
      <x:c r="B48" s="43" t="n">
        <x:v>46266</x:v>
      </x:c>
      <x:c r="C48" s="42" t="str">
        <x:v>18:15</x:v>
      </x:c>
      <x:c r="D48" s="42" t="str">
        <x:v>HERO</x:v>
      </x:c>
      <x:c r="E48" s="44" t="str"/>
      <x:c r="F48" s="42" t="str">
        <x:v>Would you follow the neon deeper into this dream?</x:v>
      </x:c>
      <x:c r="G48" s="42" t="str">
        <x:v>AFTERGLOW_NEON_NOIR_HOLOGRAPHIC_THRILLER_02_V2.mp4</x:v>
      </x:c>
      <x:c r="H48" s="42" t="str"/>
      <x:c r="I48" s="42" t="str">
        <x:v>Vues</x:v>
      </x:c>
      <x:c r="J48" s="45" t="n">
        <x:v>149</x:v>
      </x:c>
      <x:c r="K48" s="45" t="n">
        <x:v>4</x:v>
      </x:c>
      <x:c r="L48" s="45"/>
      <x:c r="M48" s="45"/>
      <x:c r="N48" s="45"/>
      <x:c r="O48" s="42" t="str">
        <x:v>Meta Business Suite — contenu</x:v>
      </x:c>
      <x:c r="P48" s="43" t="n">
        <x:v>46268</x:v>
      </x:c>
      <x:c r="Q48" s="42" t="str">
        <x:v>Mesure native; URL publique non capturée dans le relevé</x:v>
      </x:c>
      <x:c r="R48" s="42" t="str">
        <x:f>A48&amp;"|"&amp;TEXT(J48,"0")</x:f>
        <x:v>Facebook|149</x:v>
      </x:c>
    </x:row>
    <x:row r="49">
      <x:c r="A49" s="42" t="str">
        <x:v>Facebook</x:v>
      </x:c>
      <x:c r="B49" s="43" t="n">
        <x:v>46260</x:v>
      </x:c>
      <x:c r="C49" s="42" t="str">
        <x:v>18:15</x:v>
      </x:c>
      <x:c r="D49" s="42" t="str">
        <x:v>HERO</x:v>
      </x:c>
      <x:c r="E49" s="44" t="str"/>
      <x:c r="F49" s="42" t="str">
        <x:v>Which path would you take through this solar city?</x:v>
      </x:c>
      <x:c r="G49" s="42" t="str">
        <x:v>DAY_AFROFUTURISM_SOLAR_CULTURAL_02.mp4</x:v>
      </x:c>
      <x:c r="H49" s="42" t="str"/>
      <x:c r="I49" s="42" t="str">
        <x:v>Vues</x:v>
      </x:c>
      <x:c r="J49" s="45" t="n">
        <x:v>43</x:v>
      </x:c>
      <x:c r="K49" s="45" t="n">
        <x:v>1</x:v>
      </x:c>
      <x:c r="L49" s="45"/>
      <x:c r="M49" s="45"/>
      <x:c r="N49" s="45"/>
      <x:c r="O49" s="42" t="str">
        <x:v>Meta Business Suite — 28 jours (05/08–01/09)</x:v>
      </x:c>
      <x:c r="P49" s="43" t="n">
        <x:v>46268</x:v>
      </x:c>
      <x:c r="Q49" s="42" t="str">
        <x:v>Mesure native; URL publique non capturée dans le relevé</x:v>
      </x:c>
      <x:c r="R49" s="42" t="str">
        <x:f>A49&amp;"|"&amp;TEXT(J49,"0")</x:f>
        <x:v>Facebook|43</x:v>
      </x:c>
    </x:row>
    <x:row r="50">
      <x:c r="A50" s="42" t="str">
        <x:v>Facebook</x:v>
      </x:c>
      <x:c r="B50" s="43" t="n">
        <x:v>46261</x:v>
      </x:c>
      <x:c r="C50" s="42" t="str">
        <x:v>18:15</x:v>
      </x:c>
      <x:c r="D50" s="42" t="str">
        <x:v>HERO</x:v>
      </x:c>
      <x:c r="E50" s="44" t="str"/>
      <x:c r="F50" s="42" t="str">
        <x:v>Write the dream in the present tense</x:v>
      </x:c>
      <x:c r="G50" s="42" t="str">
        <x:v>NIGHT_AFROFUTURISM_SOLAR_CULTURAL_02.mp4</x:v>
      </x:c>
      <x:c r="H50" s="42" t="str"/>
      <x:c r="I50" s="42" t="str">
        <x:v>Vues</x:v>
      </x:c>
      <x:c r="J50" s="45" t="n">
        <x:v>36</x:v>
      </x:c>
      <x:c r="K50" s="45" t="n">
        <x:v>1</x:v>
      </x:c>
      <x:c r="L50" s="45" t="n">
        <x:v>3</x:v>
      </x:c>
      <x:c r="M50" s="45" t="n">
        <x:v>1</x:v>
      </x:c>
      <x:c r="N50" s="45"/>
      <x:c r="O50" s="42" t="str">
        <x:v>Meta Business Suite — 28 jours (05/08–01/09)</x:v>
      </x:c>
      <x:c r="P50" s="43" t="n">
        <x:v>46268</x:v>
      </x:c>
      <x:c r="Q50" s="42" t="str">
        <x:v>Mesure native; URL publique non capturée dans le relevé</x:v>
      </x:c>
      <x:c r="R50" s="42" t="str">
        <x:f>A50&amp;"|"&amp;TEXT(J50,"0")</x:f>
        <x:v>Facebook|36</x:v>
      </x:c>
    </x:row>
    <x:row r="51">
      <x:c r="A51" s="42" t="str">
        <x:v>Facebook</x:v>
      </x:c>
      <x:c r="B51" s="43" t="n">
        <x:v>46259</x:v>
      </x:c>
      <x:c r="C51" s="42" t="str">
        <x:v>18:15</x:v>
      </x:c>
      <x:c r="D51" s="42" t="str">
        <x:v>HERO</x:v>
      </x:c>
      <x:c r="E51" s="44" t="str"/>
      <x:c r="F51" s="42" t="str">
        <x:v>Note recurring places in your dream journal</x:v>
      </x:c>
      <x:c r="G51" s="42" t="str">
        <x:v>SUNSET_AETHERPUNK_CELESTIAL_FLOATING_02.mp4</x:v>
      </x:c>
      <x:c r="H51" s="42" t="str"/>
      <x:c r="I51" s="42" t="str">
        <x:v>Vues</x:v>
      </x:c>
      <x:c r="J51" s="45" t="n">
        <x:v>25</x:v>
      </x:c>
      <x:c r="K51" s="45" t="n">
        <x:v>1</x:v>
      </x:c>
      <x:c r="L51" s="45" t="n">
        <x:v>2</x:v>
      </x:c>
      <x:c r="M51" s="45" t="n">
        <x:v>1</x:v>
      </x:c>
      <x:c r="N51" s="45"/>
      <x:c r="O51" s="42" t="str">
        <x:v>Meta Business Suite — 28 jours (05/08–01/09)</x:v>
      </x:c>
      <x:c r="P51" s="43" t="n">
        <x:v>46268</x:v>
      </x:c>
      <x:c r="Q51" s="42" t="str">
        <x:v>Mesure native; URL publique non capturée dans le relevé</x:v>
      </x:c>
      <x:c r="R51" s="42" t="str">
        <x:f>A51&amp;"|"&amp;TEXT(J51,"0")</x:f>
        <x:v>Facebook|25</x:v>
      </x:c>
    </x:row>
    <x:row r="52">
      <x:c r="A52" s="42" t="str">
        <x:v>Pinterest</x:v>
      </x:c>
      <x:c r="B52" s="43" t="n">
        <x:v>46248</x:v>
      </x:c>
      <x:c r="C52" s="42" t="str">
        <x:v>17:30</x:v>
      </x:c>
      <x:c r="D52" s="42" t="str">
        <x:v>HERO</x:v>
      </x:c>
      <x:c r="E52" s="44" t="str">
        <x:v>Pinterest:1127940669217848264</x:v>
      </x:c>
      <x:c r="F52" s="42" t="str">
        <x:v>Surreal Dreamscape: A Bioluminescent Forest</x:v>
      </x:c>
      <x:c r="G52" s="42" t="str">
        <x:v>05-foret-bioluminescente-embrasement.mp4</x:v>
      </x:c>
      <x:c r="H52" s="42" t="str">
        <x:v>https://www.pinterest.com/pin/1127940669217848264/</x:v>
      </x:c>
      <x:c r="I52" s="42" t="str">
        <x:v>Impressions</x:v>
      </x:c>
      <x:c r="J52" s="45" t="n">
        <x:v>148</x:v>
      </x:c>
      <x:c r="K52" s="45"/>
      <x:c r="L52" s="45"/>
      <x:c r="M52" s="45"/>
      <x:c r="N52" s="45"/>
      <x:c r="O52" s="42" t="str">
        <x:v>Pinterest Analytics — 30 jours (03/08–02/09)</x:v>
      </x:c>
      <x:c r="P52" s="43" t="n">
        <x:v>46268</x:v>
      </x:c>
      <x:c r="Q52" s="42" t="str">
        <x:v>Likes/partages/enregistrements par Pin non exposés dans le tableau relevé</x:v>
      </x:c>
      <x:c r="R52" s="42" t="str">
        <x:f>A52&amp;"|"&amp;TEXT(J52,"0")</x:f>
        <x:v>Pinterest|148</x:v>
      </x:c>
    </x:row>
    <x:row r="53">
      <x:c r="A53" s="42" t="str">
        <x:v>Pinterest</x:v>
      </x:c>
      <x:c r="B53" s="43" t="n">
        <x:v>46246</x:v>
      </x:c>
      <x:c r="C53" s="42" t="str">
        <x:v>17:30</x:v>
      </x:c>
      <x:c r="D53" s="42" t="str">
        <x:v>HERO</x:v>
      </x:c>
      <x:c r="E53" s="44" t="str">
        <x:v>Pinterest:1127940669217695342</x:v>
      </x:c>
      <x:c r="F53" s="42" t="str">
        <x:v>Surreal Dreamscape: Floating Above the Clouds</x:v>
      </x:c>
      <x:c r="G53" s="42" t="str">
        <x:v>01-levitation-envol.mp4</x:v>
      </x:c>
      <x:c r="H53" s="42" t="str">
        <x:v>https://fr.pinterest.com/pin/1127940669217695342/</x:v>
      </x:c>
      <x:c r="I53" s="42" t="str">
        <x:v>Impressions</x:v>
      </x:c>
      <x:c r="J53" s="45" t="n">
        <x:v>140</x:v>
      </x:c>
      <x:c r="K53" s="45"/>
      <x:c r="L53" s="45"/>
      <x:c r="M53" s="45"/>
      <x:c r="N53" s="45"/>
      <x:c r="O53" s="42" t="str">
        <x:v>Pinterest Analytics — 30 jours (03/08–02/09)</x:v>
      </x:c>
      <x:c r="P53" s="43" t="n">
        <x:v>46268</x:v>
      </x:c>
      <x:c r="Q53" s="42" t="str">
        <x:v>Likes/partages/enregistrements par Pin non exposés dans le tableau relevé</x:v>
      </x:c>
      <x:c r="R53" s="42" t="str">
        <x:f>A53&amp;"|"&amp;TEXT(J53,"0")</x:f>
        <x:v>Pinterest|140</x:v>
      </x:c>
    </x:row>
    <x:row r="54">
      <x:c r="A54" s="42" t="str">
        <x:v>Pinterest</x:v>
      </x:c>
      <x:c r="B54" s="43" t="n">
        <x:v>46249</x:v>
      </x:c>
      <x:c r="C54" s="42" t="str">
        <x:v>17:30</x:v>
      </x:c>
      <x:c r="D54" s="42" t="str">
        <x:v>HERO</x:v>
      </x:c>
      <x:c r="E54" s="44" t="str">
        <x:v>Pinterest:1127940669217929058</x:v>
      </x:c>
      <x:c r="F54" s="42" t="str">
        <x:v>Dream Journal Prompt: Write the Nouns First</x:v>
      </x:c>
      <x:c r="G54" s="42" t="str">
        <x:v>07-couloir-portes-deferlement.mp4</x:v>
      </x:c>
      <x:c r="H54" s="42" t="str">
        <x:v>https://fr.pinterest.com/pin/1127940669217929058/</x:v>
      </x:c>
      <x:c r="I54" s="42" t="str">
        <x:v>Impressions</x:v>
      </x:c>
      <x:c r="J54" s="45" t="n">
        <x:v>106</x:v>
      </x:c>
      <x:c r="K54" s="45"/>
      <x:c r="L54" s="45"/>
      <x:c r="M54" s="45"/>
      <x:c r="N54" s="45"/>
      <x:c r="O54" s="42" t="str">
        <x:v>Pinterest Analytics — 30 jours (03/08–02/09)</x:v>
      </x:c>
      <x:c r="P54" s="43" t="n">
        <x:v>46268</x:v>
      </x:c>
      <x:c r="Q54" s="42" t="str">
        <x:v>Likes/partages/enregistrements par Pin non exposés dans le tableau relevé</x:v>
      </x:c>
      <x:c r="R54" s="42" t="str">
        <x:f>A54&amp;"|"&amp;TEXT(J54,"0")</x:f>
        <x:v>Pinterest|106</x:v>
      </x:c>
    </x:row>
    <x:row r="55">
      <x:c r="A55" s="42" t="str">
        <x:v>Pinterest</x:v>
      </x:c>
      <x:c r="B55" s="43" t="n">
        <x:v>46247</x:v>
      </x:c>
      <x:c r="C55" s="42" t="str">
        <x:v>17:30</x:v>
      </x:c>
      <x:c r="D55" s="42" t="str">
        <x:v>HERO</x:v>
      </x:c>
      <x:c r="E55" s="44" t="str">
        <x:v>Pinterest:1127940669217775129</x:v>
      </x:c>
      <x:c r="F55" s="42" t="str">
        <x:v>How to Remember Dreams: Name Three Details Before Moving</x:v>
      </x:c>
      <x:c r="G55" s="42" t="str">
        <x:v>03-ville-engloutie-eruption.mp4</x:v>
      </x:c>
      <x:c r="H55" s="42" t="str">
        <x:v>https://fr.pinterest.com/pin/1127940669217775129/</x:v>
      </x:c>
      <x:c r="I55" s="42" t="str">
        <x:v>Impressions</x:v>
      </x:c>
      <x:c r="J55" s="45" t="n">
        <x:v>47</x:v>
      </x:c>
      <x:c r="K55" s="45"/>
      <x:c r="L55" s="45"/>
      <x:c r="M55" s="45"/>
      <x:c r="N55" s="45"/>
      <x:c r="O55" s="42" t="str">
        <x:v>Pinterest Analytics — 30 jours (03/08–02/09)</x:v>
      </x:c>
      <x:c r="P55" s="43" t="n">
        <x:v>46268</x:v>
      </x:c>
      <x:c r="Q55" s="42" t="str">
        <x:v>Likes/partages/enregistrements par Pin non exposés dans le tableau relevé</x:v>
      </x:c>
      <x:c r="R55" s="42" t="str">
        <x:f>A55&amp;"|"&amp;TEXT(J55,"0")</x:f>
        <x:v>Pinterest|47</x:v>
      </x:c>
    </x:row>
    <x:row r="56">
      <x:c r="A56" s="42" t="str">
        <x:v>Pinterest</x:v>
      </x:c>
      <x:c r="B56" s="43" t="n">
        <x:v>46250</x:v>
      </x:c>
      <x:c r="C56" s="42" t="str">
        <x:v>17:30</x:v>
      </x:c>
      <x:c r="D56" s="42" t="str">
        <x:v>HERO</x:v>
      </x:c>
      <x:c r="E56" s="44" t="str">
        <x:v>Pinterest:1127940669218007660</x:v>
      </x:c>
      <x:c r="F56" s="42" t="str">
        <x:v>Surreal Dreamscape: A Breaking Mirror World</x:v>
      </x:c>
      <x:c r="G56" s="42" t="str">
        <x:v>09-monde-miroir-brisure.mp4</x:v>
      </x:c>
      <x:c r="H56" s="42" t="str">
        <x:v>https://www.pinterest.com/pin/1127940669218007660/</x:v>
      </x:c>
      <x:c r="I56" s="42" t="str">
        <x:v>Impressions</x:v>
      </x:c>
      <x:c r="J56" s="45" t="n">
        <x:v>37</x:v>
      </x:c>
      <x:c r="K56" s="45"/>
      <x:c r="L56" s="45"/>
      <x:c r="M56" s="45"/>
      <x:c r="N56" s="45"/>
      <x:c r="O56" s="42" t="str">
        <x:v>Pinterest Analytics — 30 jours (03/08–02/09)</x:v>
      </x:c>
      <x:c r="P56" s="43" t="n">
        <x:v>46268</x:v>
      </x:c>
      <x:c r="Q56" s="42" t="str">
        <x:v>Likes/partages/enregistrements par Pin non exposés dans le tableau relevé</x:v>
      </x:c>
      <x:c r="R56" s="42" t="str">
        <x:f>A56&amp;"|"&amp;TEXT(J56,"0")</x:f>
        <x:v>Pinterest|37</x:v>
      </x:c>
    </x:row>
    <x:row r="57">
      <x:c r="A57" s="42" t="str">
        <x:v>Pinterest</x:v>
      </x:c>
      <x:c r="B57" s="43" t="n">
        <x:v>46251</x:v>
      </x:c>
      <x:c r="C57" s="42" t="str">
        <x:v>17:30</x:v>
      </x:c>
      <x:c r="D57" s="42" t="str">
        <x:v>HERO</x:v>
      </x:c>
      <x:c r="E57" s="44" t="str">
        <x:v>Pinterest:1127940669218087267</x:v>
      </x:c>
      <x:c r="F57" s="42" t="str">
        <x:v>How to Remember Dreams: Record the Emotion First</x:v>
      </x:c>
      <x:c r="G57" s="42" t="str">
        <x:v>HIGGS_2026-08-05_143033_JUNGLE_CRYSTAL_FPV_4c148b7e.mp4</x:v>
      </x:c>
      <x:c r="H57" s="42" t="str">
        <x:v>https://www.pinterest.com/pin/1127940669218087267/</x:v>
      </x:c>
      <x:c r="I57" s="42" t="str">
        <x:v>Impressions</x:v>
      </x:c>
      <x:c r="J57" s="45" t="n">
        <x:v>30</x:v>
      </x:c>
      <x:c r="K57" s="45"/>
      <x:c r="L57" s="45"/>
      <x:c r="M57" s="45"/>
      <x:c r="N57" s="45"/>
      <x:c r="O57" s="42" t="str">
        <x:v>Pinterest Analytics — 30 jours (03/08–02/09)</x:v>
      </x:c>
      <x:c r="P57" s="43" t="n">
        <x:v>46268</x:v>
      </x:c>
      <x:c r="Q57" s="42" t="str">
        <x:v>Likes/partages/enregistrements par Pin non exposés dans le tableau relevé</x:v>
      </x:c>
      <x:c r="R57" s="42" t="str">
        <x:f>A57&amp;"|"&amp;TEXT(J57,"0")</x:f>
        <x:v>Pinterest|30</x:v>
      </x:c>
    </x:row>
    <x:row r="58">
      <x:c r="A58" s="46" t="str">
        <x:v>Pinterest</x:v>
      </x:c>
      <x:c r="B58" s="47" t="n">
        <x:v>46252</x:v>
      </x:c>
      <x:c r="C58" s="46" t="str">
        <x:v>17:30</x:v>
      </x:c>
      <x:c r="D58" s="46" t="str">
        <x:v>HERO</x:v>
      </x:c>
      <x:c r="E58" s="48" t="str">
        <x:v>Pinterest:1127940669218169309</x:v>
      </x:c>
      <x:c r="F58" s="46" t="str">
        <x:v>Surreal Dreamscape: A Crystal Dream City</x:v>
      </x:c>
      <x:c r="G58" s="46" t="str">
        <x:v>HIGGS_2026-08-05_171605_CITY_POV_C_cecd94a1.mp4</x:v>
      </x:c>
      <x:c r="H58" s="46" t="str">
        <x:v>https://fr.pinterest.com/pin/1127940669218169309/</x:v>
      </x:c>
      <x:c r="I58" s="46" t="str">
        <x:v>Impressions</x:v>
      </x:c>
      <x:c r="J58" s="49" t="n">
        <x:v>7</x:v>
      </x:c>
      <x:c r="K58" s="49"/>
      <x:c r="L58" s="49"/>
      <x:c r="M58" s="49"/>
      <x:c r="N58" s="49"/>
      <x:c r="O58" s="46" t="str">
        <x:v>Pinterest Analytics — 30 jours (03/08–02/09)</x:v>
      </x:c>
      <x:c r="P58" s="47" t="n">
        <x:v>46268</x:v>
      </x:c>
      <x:c r="Q58" s="46" t="str">
        <x:v>Likes/partages/enregistrements par Pin non exposés dans le tableau relevé</x:v>
      </x:c>
      <x:c r="R58" s="46" t="str">
        <x:f>A58&amp;"|"&amp;TEXT(J58,"0")</x:f>
        <x:v>Pinterest|7</x:v>
      </x:c>
    </x:row>
  </x:sheetData>
  <x:mergeCells>
    <x:mergeCell ref="A1:R1"/>
    <x:mergeCell ref="A2:R2"/>
  </x:mergeCells>
  <x:conditionalFormatting sqref="J5:J58">
    <x:cfRule type="dataBar" priority="1">
      <x:dataBar>
        <x:cfvo type="min"/>
        <x:cfvo type="max"/>
        <x:color rgb="FFB89553"/>
      </x:dataBar>
      <x:extLst>
        <x:ext xmlns:x14="http://schemas.microsoft.com/office/spreadsheetml/2009/9/main" uri="{B025F937-C7B1-47D3-B67F-A62EFF666E3E}">
          <x14:id>{553E46D0-8A1F-65A5-5891-3D5FD7167A4C}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3E46D0-8A1F-65A5-5891-3D5FD7167A4C}">
            <x14:dataBar gradient="1">
              <x14:cfvo type="min"/>
              <x14:cfvo type="max"/>
              <x14:fillColor rgb="FFB89553"/>
            </x14:dataBar>
          </x14:cfRule>
          <xm:sqref>J5:J58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15.5600004196167" hidden="0" customWidth="1"/>
    <x:col min="5" max="5" width="30" hidden="0" customWidth="1"/>
    <x:col min="6" max="6" width="43.33000183105469" hidden="0" customWidth="1"/>
  </x:cols>
  <x:sheetData>
    <x:row r="1" ht="25.5" customHeight="1">
      <x:c r="A1" s="2" t="str">
        <x:v>Sources, fenêtres et définitions</x:v>
      </x:c>
      <x:c r="B1" s="2" t="str">
        <x:v>Sources, fenêtres et définitions</x:v>
      </x:c>
      <x:c r="C1" s="2" t="str">
        <x:v>Sources, fenêtres et définitions</x:v>
      </x:c>
      <x:c r="D1" s="2" t="str">
        <x:v>Sources, fenêtres et définitions</x:v>
      </x:c>
      <x:c r="E1" s="2" t="str">
        <x:v>Sources, fenêtres et définitions</x:v>
      </x:c>
      <x:c r="F1" s="2" t="str">
        <x:v>Sources, fenêtres et définitions</x:v>
      </x:c>
    </x:row>
    <x:row r="3" ht="25.5" customHeight="1">
      <x:c r="A3" s="10" t="str">
        <x:v>Plateforme</x:v>
      </x:c>
      <x:c r="B3" s="10" t="str">
        <x:v>Compte / propriété</x:v>
      </x:c>
      <x:c r="C3" s="10" t="str">
        <x:v>Fenêtre</x:v>
      </x:c>
      <x:c r="D3" s="10" t="str">
        <x:v>Métrique principale</x:v>
      </x:c>
      <x:c r="E3" s="10" t="str">
        <x:v>Source</x:v>
      </x:c>
      <x:c r="F3" s="10" t="str">
        <x:v>Limites à retenir</x:v>
      </x:c>
    </x:row>
    <x:row r="4">
      <x:c r="A4" s="38" t="str">
        <x:v>TikTok</x:v>
      </x:c>
      <x:c r="B4" s="38" t="str">
        <x:v>@noctaliadreams</x:v>
      </x:c>
      <x:c r="C4" s="38" t="str">
        <x:v>Instantané au 2026-09-03</x:v>
      </x:c>
      <x:c r="D4" s="38" t="str">
        <x:v>Vues vidéo</x:v>
      </x:c>
      <x:c r="E4" s="38" t="str">
        <x:v>TikTok Studio + registres Noctalia</x:v>
      </x:c>
      <x:c r="F4" s="38" t="str">
        <x:v>Extrait, pas l'intégralité des 98 publications; partages non exposés dans le relevé</x:v>
      </x:c>
    </x:row>
    <x:row r="5">
      <x:c r="A5" s="42" t="str">
        <x:v>Instagram</x:v>
      </x:c>
      <x:c r="B5" s="42" t="str">
        <x:v>@noctaliadreams</x:v>
      </x:c>
      <x:c r="C5" s="42" t="str">
        <x:v>30 jours</x:v>
      </x:c>
      <x:c r="D5" s="42" t="str">
        <x:v>Vues</x:v>
      </x:c>
      <x:c r="E5" s="42" t="str">
        <x:v>Instagram Professional Dashboard</x:v>
      </x:c>
      <x:c r="F5" s="42" t="str">
        <x:v>Deux meilleurs contenus relevés; les métriques sont natives et peuvent évoluer</x:v>
      </x:c>
    </x:row>
    <x:row r="6">
      <x:c r="A6" s="42" t="str">
        <x:v>X</x:v>
      </x:c>
      <x:c r="B6" s="42" t="str">
        <x:v>@NoctaliaDreams</x:v>
      </x:c>
      <x:c r="C6" s="42" t="str">
        <x:v>Recherche publique</x:v>
      </x:c>
      <x:c r="D6" s="42" t="str">
        <x:v>Vues publiques</x:v>
      </x:c>
      <x:c r="E6" s="42" t="str">
        <x:v>Recherche X from:NoctaliaDreams filter:videos</x:v>
      </x:c>
      <x:c r="F6" s="42" t="str">
        <x:v>Pas de session propriétaire; classement partiel et non exhaustif</x:v>
      </x:c>
    </x:row>
    <x:row r="7">
      <x:c r="A7" s="42" t="str">
        <x:v>YouTube</x:v>
      </x:c>
      <x:c r="B7" s="42" t="str">
        <x:v>UCQZsVAOggq_meTWYG-4dHfw</x:v>
      </x:c>
      <x:c r="C7" s="42" t="str">
        <x:v>Shorts visibles</x:v>
      </x:c>
      <x:c r="D7" s="42" t="str">
        <x:v>Vues</x:v>
      </x:c>
      <x:c r="E7" s="42" t="str">
        <x:v>YouTube Studio</x:v>
      </x:c>
      <x:c r="F7" s="42" t="str">
        <x:v>Deux meilleurs Shorts documentés; likes/partages non exposés dans le tableau relevé</x:v>
      </x:c>
    </x:row>
    <x:row r="8">
      <x:c r="A8" s="42" t="str">
        <x:v>Facebook</x:v>
      </x:c>
      <x:c r="B8" s="42" t="str">
        <x:v>Page 1266183263247451</x:v>
      </x:c>
      <x:c r="C8" s="42" t="str">
        <x:v>28 jours, 2026-08-05–2026-09-01</x:v>
      </x:c>
      <x:c r="D8" s="42" t="str">
        <x:v>Vues</x:v>
      </x:c>
      <x:c r="E8" s="42" t="str">
        <x:v>Meta Business Suite</x:v>
      </x:c>
      <x:c r="F8" s="42" t="str">
        <x:v>Réactions utilisées dans la colonne likes/réactions; certaines URL publiques manquent au relevé</x:v>
      </x:c>
    </x:row>
    <x:row r="9">
      <x:c r="A9" s="46" t="str">
        <x:v>Pinterest</x:v>
      </x:c>
      <x:c r="B9" s="46" t="str">
        <x:v>@noctaliadreams</x:v>
      </x:c>
      <x:c r="C9" s="46" t="str">
        <x:v>30 jours, 2026-08-03–2026-09-02</x:v>
      </x:c>
      <x:c r="D9" s="46" t="str">
        <x:v>Impressions</x:v>
      </x:c>
      <x:c r="E9" s="46" t="str">
        <x:v>Pinterest Analytics</x:v>
      </x:c>
      <x:c r="F9" s="46" t="str">
        <x:v>Ne pas appeler les impressions des vues; likes/partages par Pin non exposés</x:v>
      </x:c>
    </x:row>
    <x:row r="12">
      <x:c r="A12" s="50" t="str">
        <x:v>Règles de lecture</x:v>
      </x:c>
      <x:c r="B12" s="51" t="str">
        <x:v>Règles de lecture</x:v>
      </x:c>
      <x:c r="C12" s="51" t="str">
        <x:v>Règles de lecture</x:v>
      </x:c>
      <x:c r="D12" s="51" t="str">
        <x:v>Règles de lecture</x:v>
      </x:c>
      <x:c r="E12" s="51" t="str">
        <x:v>Règles de lecture</x:v>
      </x:c>
      <x:c r="F12" s="52" t="str">
        <x:v>Règles de lecture</x:v>
      </x:c>
    </x:row>
    <x:row r="13">
      <x:c r="A13" s="59" t="str">
        <x:v>Cellule vide</x:v>
      </x:c>
      <x:c r="B13" s="38" t="str">
        <x:v>La plateforme ou le relevé n'exposait pas la métrique. Ce n'est pas un zéro.</x:v>
      </x:c>
      <x:c r="C13" s="38" t="str">
        <x:v>La plateforme ou le relevé n'exposait pas la métrique. Ce n'est pas un zéro.</x:v>
      </x:c>
      <x:c r="D13" s="38" t="str">
        <x:v>La plateforme ou le relevé n'exposait pas la métrique. Ce n'est pas un zéro.</x:v>
      </x:c>
      <x:c r="E13" s="38" t="str">
        <x:v>La plateforme ou le relevé n'exposait pas la métrique. Ce n'est pas un zéro.</x:v>
      </x:c>
      <x:c r="F13" s="38" t="str">
        <x:v>La plateforme ou le relevé n'exposait pas la métrique. Ce n'est pas un zéro.</x:v>
      </x:c>
    </x:row>
    <x:row r="14">
      <x:c r="A14" s="60" t="str">
        <x:v>Vues</x:v>
      </x:c>
      <x:c r="B14" s="42" t="str">
        <x:v>Compteur natif de lecture vidéo propre à la plateforme; les règles de comptage diffèrent.</x:v>
      </x:c>
      <x:c r="C14" s="42" t="str">
        <x:v>Compteur natif de lecture vidéo propre à la plateforme; les règles de comptage diffèrent.</x:v>
      </x:c>
      <x:c r="D14" s="42" t="str">
        <x:v>Compteur natif de lecture vidéo propre à la plateforme; les règles de comptage diffèrent.</x:v>
      </x:c>
      <x:c r="E14" s="42" t="str">
        <x:v>Compteur natif de lecture vidéo propre à la plateforme; les règles de comptage diffèrent.</x:v>
      </x:c>
      <x:c r="F14" s="42" t="str">
        <x:v>Compteur natif de lecture vidéo propre à la plateforme; les règles de comptage diffèrent.</x:v>
      </x:c>
    </x:row>
    <x:row r="15">
      <x:c r="A15" s="60" t="str">
        <x:v>Impressions Pinterest</x:v>
      </x:c>
      <x:c r="B15" s="42" t="str">
        <x:v>Nombre d'affichages du Pin; cette mesure n'est pas directement comparable aux vues vidéo.</x:v>
      </x:c>
      <x:c r="C15" s="42" t="str">
        <x:v>Nombre d'affichages du Pin; cette mesure n'est pas directement comparable aux vues vidéo.</x:v>
      </x:c>
      <x:c r="D15" s="42" t="str">
        <x:v>Nombre d'affichages du Pin; cette mesure n'est pas directement comparable aux vues vidéo.</x:v>
      </x:c>
      <x:c r="E15" s="42" t="str">
        <x:v>Nombre d'affichages du Pin; cette mesure n'est pas directement comparable aux vues vidéo.</x:v>
      </x:c>
      <x:c r="F15" s="42" t="str">
        <x:v>Nombre d'affichages du Pin; cette mesure n'est pas directement comparable aux vues vidéo.</x:v>
      </x:c>
    </x:row>
    <x:row r="16">
      <x:c r="A16" s="60" t="str">
        <x:v>Likes / réactions</x:v>
      </x:c>
      <x:c r="B16" s="42" t="str">
        <x:v>Likes sur TikTok/Instagram/X; réactions sur Facebook.</x:v>
      </x:c>
      <x:c r="C16" s="42" t="str">
        <x:v>Likes sur TikTok/Instagram/X; réactions sur Facebook.</x:v>
      </x:c>
      <x:c r="D16" s="42" t="str">
        <x:v>Likes sur TikTok/Instagram/X; réactions sur Facebook.</x:v>
      </x:c>
      <x:c r="E16" s="42" t="str">
        <x:v>Likes sur TikTok/Instagram/X; réactions sur Facebook.</x:v>
      </x:c>
      <x:c r="F16" s="42" t="str">
        <x:v>Likes sur TikTok/Instagram/X; réactions sur Facebook.</x:v>
      </x:c>
    </x:row>
    <x:row r="17">
      <x:c r="A17" s="60" t="str">
        <x:v>Partages / reposts</x:v>
      </x:c>
      <x:c r="B17" s="42" t="str">
        <x:v>Partages natifs sur Instagram/Facebook; reposts sur X.</x:v>
      </x:c>
      <x:c r="C17" s="42" t="str">
        <x:v>Partages natifs sur Instagram/Facebook; reposts sur X.</x:v>
      </x:c>
      <x:c r="D17" s="42" t="str">
        <x:v>Partages natifs sur Instagram/Facebook; reposts sur X.</x:v>
      </x:c>
      <x:c r="E17" s="42" t="str">
        <x:v>Partages natifs sur Instagram/Facebook; reposts sur X.</x:v>
      </x:c>
      <x:c r="F17" s="42" t="str">
        <x:v>Partages natifs sur Instagram/Facebook; reposts sur X.</x:v>
      </x:c>
    </x:row>
    <x:row r="18">
      <x:c r="A18" s="60" t="str">
        <x:v>Vidéo publique</x:v>
      </x:c>
      <x:c r="B18" s="42" t="str">
        <x:v>Lien cliquable vers la publication. Quand il est vide, l'URL n'a pas été capturée dans le relevé natif.</x:v>
      </x:c>
      <x:c r="C18" s="42" t="str">
        <x:v>Lien cliquable vers la publication. Quand il est vide, l'URL n'a pas été capturée dans le relevé natif.</x:v>
      </x:c>
      <x:c r="D18" s="42" t="str">
        <x:v>Lien cliquable vers la publication. Quand il est vide, l'URL n'a pas été capturée dans le relevé natif.</x:v>
      </x:c>
      <x:c r="E18" s="42" t="str">
        <x:v>Lien cliquable vers la publication. Quand il est vide, l'URL n'a pas été capturée dans le relevé natif.</x:v>
      </x:c>
      <x:c r="F18" s="42" t="str">
        <x:v>Lien cliquable vers la publication. Quand il est vide, l'URL n'a pas été capturée dans le relevé natif.</x:v>
      </x:c>
    </x:row>
    <x:row r="19">
      <x:c r="A19" s="60" t="str">
        <x:v>Nom de la vidéo</x:v>
      </x:c>
      <x:c r="B19" s="42" t="str">
        <x:v>Titre, hook ou description lisible de la publication.</x:v>
      </x:c>
      <x:c r="C19" s="42" t="str">
        <x:v>Titre, hook ou description lisible de la publication.</x:v>
      </x:c>
      <x:c r="D19" s="42" t="str">
        <x:v>Titre, hook ou description lisible de la publication.</x:v>
      </x:c>
      <x:c r="E19" s="42" t="str">
        <x:v>Titre, hook ou description lisible de la publication.</x:v>
      </x:c>
      <x:c r="F19" s="42" t="str">
        <x:v>Titre, hook ou description lisible de la publication.</x:v>
      </x:c>
    </x:row>
    <x:row r="20">
      <x:c r="A20" s="61" t="str">
        <x:v>Fichier vidéo</x:v>
      </x:c>
      <x:c r="B20" s="46" t="str">
        <x:v>Nom du master/asset exact lorsqu'il est connu.</x:v>
      </x:c>
      <x:c r="C20" s="46" t="str">
        <x:v>Nom du master/asset exact lorsqu'il est connu.</x:v>
      </x:c>
      <x:c r="D20" s="46" t="str">
        <x:v>Nom du master/asset exact lorsqu'il est connu.</x:v>
      </x:c>
      <x:c r="E20" s="46" t="str">
        <x:v>Nom du master/asset exact lorsqu'il est connu.</x:v>
      </x:c>
      <x:c r="F20" s="46" t="str">
        <x:v>Nom du master/asset exact lorsqu'il est connu.</x:v>
      </x:c>
    </x:row>
  </x:sheetData>
  <x:mergeCells>
    <x:mergeCell ref="A1:F1"/>
    <x:mergeCell ref="A12:F12"/>
    <x:mergeCell ref="B13:F13"/>
    <x:mergeCell ref="B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