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0314a6994e49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172c01c7f5024b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2a42d8266443b8" /><Relationship Type="http://schemas.openxmlformats.org/officeDocument/2006/relationships/theme" Target="/xl/theme/theme1.xml" Id="Rbbfdd4f68eb04fcb" /><Relationship Type="http://schemas.openxmlformats.org/officeDocument/2006/relationships/sharedStrings" Target="/xl/sharedStrings.xml" Id="Rc2073b53aded4df4" /><Relationship Type="http://schemas.openxmlformats.org/officeDocument/2006/relationships/worksheet" Target="/xl/worksheets/sheet1.xml" Id="R172c01c7f5024b90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b1bdf9a1c6644d0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Lot 08 en branche : 30 couvertures conservées, 210 nouveaux PNG. Les preuves périmées restent historiques.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105</x:v>
      </x:c>
      <x:c r="C4" s="3" t="str">
        <x:v>Packs à terminer</x:v>
      </x:c>
      <x:c r="D4" s="9" t="n">
        <x:f>COUNTA(B11:B250)-B4</x:f>
        <x:v>135</x:v>
      </x:c>
      <x:c r="E4" s="3" t="str">
        <x:v>Pages avec pack</x:v>
      </x:c>
      <x:c r="F4" s="9" t="n">
        <x:f>COUNTIF(Q11:V250,"Atlas")</x:f>
        <x:v>630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30</x:v>
      </x:c>
      <x:c r="C5" s="3" t="str">
        <x:v>QA 2560 px</x:v>
      </x:c>
      <x:c r="D5" s="9" t="n">
        <x:f>COUNTIF(X11:X250,"6/6 actuelles")</x:f>
        <x:v>30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105 packs ; 135 à compléter. Cadre commun : 1 440 pages. Publication antérieure conservée dans les reçus.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88d6ad45b67193bd. Révision : 9184f780a23f21687350020fa3448d58e4e0aadd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Non consignée</x:v>
      </x:c>
      <x:c r="X11" s="24" t="str">
        <x:v>Non consignée</x:v>
      </x:c>
      <x:c r="Y11" s="24" t="str">
        <x:v>Non consignée</x:v>
      </x:c>
      <x:c r="Z11" s="24" t="str">
        <x:v>Périmée (0/6)</x:v>
      </x:c>
      <x:c r="AA11" s="23" t="str">
        <x:v>Requalifier QA et publication du candidat ; accord non consigné.</x:v>
      </x:c>
      <x:c r="AB11" s="21" t="str">
        <x:v>1a63ecf787bc8d20e322314e1ba17987c83b1198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Périmée (0/6)</x:v>
      </x:c>
      <x:c r="X12" s="24" t="str">
        <x:v>Périmée (0/6)</x:v>
      </x:c>
      <x:c r="Y12" s="24" t="str">
        <x:v>Non consignée</x:v>
      </x:c>
      <x:c r="Z12" s="24" t="str">
        <x:v>Périmée (0/6)</x:v>
      </x:c>
      <x:c r="AA12" s="23" t="str">
        <x:v>Requalifier QA et publication du candidat ; accord non consigné.</x:v>
      </x:c>
      <x:c r="AB12" s="21" t="str">
        <x:v>1a63ecf787bc8d20e322314e1ba17987c83b1198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Périmée (0/6)</x:v>
      </x:c>
      <x:c r="X13" s="24" t="str">
        <x:v>Périmée (0/6)</x:v>
      </x:c>
      <x:c r="Y13" s="24" t="str">
        <x:v>Non consignée</x:v>
      </x:c>
      <x:c r="Z13" s="24" t="str">
        <x:v>Périmée (0/6)</x:v>
      </x:c>
      <x:c r="AA13" s="23" t="str">
        <x:v>Requalifier QA et publication du candidat ; accord non consigné.</x:v>
      </x:c>
      <x:c r="AB13" s="21" t="str">
        <x:v>1a63ecf787bc8d20e322314e1ba17987c83b1198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Périmée (0/6)</x:v>
      </x:c>
      <x:c r="X14" s="24" t="str">
        <x:v>Périmée (0/6)</x:v>
      </x:c>
      <x:c r="Y14" s="24" t="str">
        <x:v>Non consignée</x:v>
      </x:c>
      <x:c r="Z14" s="24" t="str">
        <x:v>Périmée (0/6)</x:v>
      </x:c>
      <x:c r="AA14" s="23" t="str">
        <x:v>Requalifier QA et publication du candidat ; accord non consigné.</x:v>
      </x:c>
      <x:c r="AB14" s="21" t="str">
        <x:v>1a63ecf787bc8d20e322314e1ba17987c83b1198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Périmée (0/6)</x:v>
      </x:c>
      <x:c r="X15" s="24" t="str">
        <x:v>Périmée (0/6)</x:v>
      </x:c>
      <x:c r="Y15" s="24" t="str">
        <x:v>Non consignée</x:v>
      </x:c>
      <x:c r="Z15" s="24" t="str">
        <x:v>Périmée (0/6)</x:v>
      </x:c>
      <x:c r="AA15" s="23" t="str">
        <x:v>Requalifier QA et publication du candidat ; accord non consigné.</x:v>
      </x:c>
      <x:c r="AB15" s="21" t="str">
        <x:v>1a63ecf787bc8d20e322314e1ba17987c83b1198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Périmée (0/6)</x:v>
      </x:c>
      <x:c r="X16" s="24" t="str">
        <x:v>Périmée (0/6)</x:v>
      </x:c>
      <x:c r="Y16" s="24" t="str">
        <x:v>Non consignée</x:v>
      </x:c>
      <x:c r="Z16" s="24" t="str">
        <x:v>Périmée (0/6)</x:v>
      </x:c>
      <x:c r="AA16" s="23" t="str">
        <x:v>Requalifier QA et publication du candidat ; accord non consigné.</x:v>
      </x:c>
      <x:c r="AB16" s="21" t="str">
        <x:v>1a63ecf787bc8d20e322314e1ba17987c83b1198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Périmée (0/6)</x:v>
      </x:c>
      <x:c r="X17" s="24" t="str">
        <x:v>Périmée (0/6)</x:v>
      </x:c>
      <x:c r="Y17" s="24" t="str">
        <x:v>Non consignée</x:v>
      </x:c>
      <x:c r="Z17" s="24" t="str">
        <x:v>Périmée (0/6)</x:v>
      </x:c>
      <x:c r="AA17" s="23" t="str">
        <x:v>Requalifier QA et publication du candidat ; accord non consigné.</x:v>
      </x:c>
      <x:c r="AB17" s="21" t="str">
        <x:v>1a63ecf787bc8d20e322314e1ba17987c83b1198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Périmée (0/6)</x:v>
      </x:c>
      <x:c r="X18" s="24" t="str">
        <x:v>Périmée (0/6)</x:v>
      </x:c>
      <x:c r="Y18" s="24" t="str">
        <x:v>Non consignée</x:v>
      </x:c>
      <x:c r="Z18" s="24" t="str">
        <x:v>Périmée (0/6)</x:v>
      </x:c>
      <x:c r="AA18" s="23" t="str">
        <x:v>Requalifier QA et publication du candidat ; accord non consigné.</x:v>
      </x:c>
      <x:c r="AB18" s="21" t="str">
        <x:v>1a63ecf787bc8d20e322314e1ba17987c83b1198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Périmée (0/6)</x:v>
      </x:c>
      <x:c r="X19" s="24" t="str">
        <x:v>Périmée (0/6)</x:v>
      </x:c>
      <x:c r="Y19" s="24" t="str">
        <x:v>Non consignée</x:v>
      </x:c>
      <x:c r="Z19" s="24" t="str">
        <x:v>Périmée (0/6)</x:v>
      </x:c>
      <x:c r="AA19" s="23" t="str">
        <x:v>Requalifier QA et publication du candidat ; accord non consigné.</x:v>
      </x:c>
      <x:c r="AB19" s="21" t="str">
        <x:v>1a63ecf787bc8d20e322314e1ba17987c83b1198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Périmée (0/6)</x:v>
      </x:c>
      <x:c r="X20" s="24" t="str">
        <x:v>Périmée (0/6)</x:v>
      </x:c>
      <x:c r="Y20" s="24" t="str">
        <x:v>Non consignée</x:v>
      </x:c>
      <x:c r="Z20" s="24" t="str">
        <x:v>Périmée (0/6)</x:v>
      </x:c>
      <x:c r="AA20" s="23" t="str">
        <x:v>Requalifier QA et publication du candidat ; accord non consigné.</x:v>
      </x:c>
      <x:c r="AB20" s="21" t="str">
        <x:v>1a63ecf787bc8d20e322314e1ba17987c83b1198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Périmée (0/6)</x:v>
      </x:c>
      <x:c r="X21" s="24" t="str">
        <x:v>Périmée (0/6)</x:v>
      </x:c>
      <x:c r="Y21" s="24" t="str">
        <x:v>Non consignée</x:v>
      </x:c>
      <x:c r="Z21" s="24" t="str">
        <x:v>Périmée (0/6)</x:v>
      </x:c>
      <x:c r="AA21" s="23" t="str">
        <x:v>Requalifier QA et publication du candidat ; accord non consigné.</x:v>
      </x:c>
      <x:c r="AB21" s="21" t="str">
        <x:v>1a63ecf787bc8d20e322314e1ba17987c83b1198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Périmée (0/6)</x:v>
      </x:c>
      <x:c r="X22" s="24" t="str">
        <x:v>Périmée (0/6)</x:v>
      </x:c>
      <x:c r="Y22" s="24" t="str">
        <x:v>Non consignée</x:v>
      </x:c>
      <x:c r="Z22" s="24" t="str">
        <x:v>Périmée (0/6)</x:v>
      </x:c>
      <x:c r="AA22" s="23" t="str">
        <x:v>Requalifier QA et publication du candidat ; accord non consigné.</x:v>
      </x:c>
      <x:c r="AB22" s="21" t="str">
        <x:v>1a63ecf787bc8d20e322314e1ba17987c83b1198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Périmée (0/6)</x:v>
      </x:c>
      <x:c r="X23" s="24" t="str">
        <x:v>Périmée (0/6)</x:v>
      </x:c>
      <x:c r="Y23" s="24" t="str">
        <x:v>Non consignée</x:v>
      </x:c>
      <x:c r="Z23" s="24" t="str">
        <x:v>Périmée (0/6)</x:v>
      </x:c>
      <x:c r="AA23" s="23" t="str">
        <x:v>Requalifier QA et publication du candidat ; accord non consigné.</x:v>
      </x:c>
      <x:c r="AB23" s="21" t="str">
        <x:v>1a63ecf787bc8d20e322314e1ba17987c83b1198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Périmée (0/6)</x:v>
      </x:c>
      <x:c r="X24" s="24" t="str">
        <x:v>Périmée (0/6)</x:v>
      </x:c>
      <x:c r="Y24" s="24" t="str">
        <x:v>Non consignée</x:v>
      </x:c>
      <x:c r="Z24" s="24" t="str">
        <x:v>Périmée (0/6)</x:v>
      </x:c>
      <x:c r="AA24" s="23" t="str">
        <x:v>Requalifier QA et publication du candidat ; accord non consigné.</x:v>
      </x:c>
      <x:c r="AB24" s="21" t="str">
        <x:v>1a63ecf787bc8d20e322314e1ba17987c83b1198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Périmée (0/6)</x:v>
      </x:c>
      <x:c r="X25" s="24" t="str">
        <x:v>Périmée (0/6)</x:v>
      </x:c>
      <x:c r="Y25" s="24" t="str">
        <x:v>Non consignée</x:v>
      </x:c>
      <x:c r="Z25" s="24" t="str">
        <x:v>Périmée (0/6)</x:v>
      </x:c>
      <x:c r="AA25" s="23" t="str">
        <x:v>Requalifier QA et publication du candidat ; accord non consigné.</x:v>
      </x:c>
      <x:c r="AB25" s="21" t="str">
        <x:v>1a63ecf787bc8d20e322314e1ba17987c83b1198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Périmée (0/6)</x:v>
      </x:c>
      <x:c r="X26" s="24" t="str">
        <x:v>Périmée (0/6)</x:v>
      </x:c>
      <x:c r="Y26" s="24" t="str">
        <x:v>Non consignée</x:v>
      </x:c>
      <x:c r="Z26" s="24" t="str">
        <x:v>Périmée (0/6)</x:v>
      </x:c>
      <x:c r="AA26" s="23" t="str">
        <x:v>Requalifier QA et publication du candidat ; accord non consigné.</x:v>
      </x:c>
      <x:c r="AB26" s="21" t="str">
        <x:v>1a63ecf787bc8d20e322314e1ba17987c83b1198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Périmée (0/6)</x:v>
      </x:c>
      <x:c r="X27" s="24" t="str">
        <x:v>Périmée (0/6)</x:v>
      </x:c>
      <x:c r="Y27" s="24" t="str">
        <x:v>Non consignée</x:v>
      </x:c>
      <x:c r="Z27" s="24" t="str">
        <x:v>Périmée (0/6)</x:v>
      </x:c>
      <x:c r="AA27" s="23" t="str">
        <x:v>Requalifier QA et publication du candidat ; accord non consigné.</x:v>
      </x:c>
      <x:c r="AB27" s="21" t="str">
        <x:v>1a63ecf787bc8d20e322314e1ba17987c83b1198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Périmée (0/6)</x:v>
      </x:c>
      <x:c r="X28" s="24" t="str">
        <x:v>Périmée (0/6)</x:v>
      </x:c>
      <x:c r="Y28" s="24" t="str">
        <x:v>Non consignée</x:v>
      </x:c>
      <x:c r="Z28" s="24" t="str">
        <x:v>Périmée (0/6)</x:v>
      </x:c>
      <x:c r="AA28" s="23" t="str">
        <x:v>Requalifier QA et publication du candidat ; accord non consigné.</x:v>
      </x:c>
      <x:c r="AB28" s="21" t="str">
        <x:v>1a63ecf787bc8d20e322314e1ba17987c83b1198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Périmée (0/6)</x:v>
      </x:c>
      <x:c r="X29" s="24" t="str">
        <x:v>Périmée (0/6)</x:v>
      </x:c>
      <x:c r="Y29" s="24" t="str">
        <x:v>Non consignée</x:v>
      </x:c>
      <x:c r="Z29" s="24" t="str">
        <x:v>Périmée (0/6)</x:v>
      </x:c>
      <x:c r="AA29" s="23" t="str">
        <x:v>Requalifier QA et publication du candidat ; accord non consigné.</x:v>
      </x:c>
      <x:c r="AB29" s="21" t="str">
        <x:v>1a63ecf787bc8d20e322314e1ba17987c83b1198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Périmée (0/6)</x:v>
      </x:c>
      <x:c r="X30" s="24" t="str">
        <x:v>Périmée (0/6)</x:v>
      </x:c>
      <x:c r="Y30" s="24" t="str">
        <x:v>Non consignée</x:v>
      </x:c>
      <x:c r="Z30" s="24" t="str">
        <x:v>Périmée (0/6)</x:v>
      </x:c>
      <x:c r="AA30" s="23" t="str">
        <x:v>Requalifier QA et publication du candidat ; accord non consigné.</x:v>
      </x:c>
      <x:c r="AB30" s="21" t="str">
        <x:v>1a63ecf787bc8d20e322314e1ba17987c83b1198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Périmée (0/6)</x:v>
      </x:c>
      <x:c r="X31" s="24" t="str">
        <x:v>Périmée (0/6)</x:v>
      </x:c>
      <x:c r="Y31" s="24" t="str">
        <x:v>Non consignée</x:v>
      </x:c>
      <x:c r="Z31" s="24" t="str">
        <x:v>Périmée (0/6)</x:v>
      </x:c>
      <x:c r="AA31" s="23" t="str">
        <x:v>Requalifier QA et publication du candidat ; accord non consigné.</x:v>
      </x:c>
      <x:c r="AB31" s="21" t="str">
        <x:v>1a63ecf787bc8d20e322314e1ba17987c83b1198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Périmée (0/6)</x:v>
      </x:c>
      <x:c r="X32" s="24" t="str">
        <x:v>Périmée (0/6)</x:v>
      </x:c>
      <x:c r="Y32" s="24" t="str">
        <x:v>Non consignée</x:v>
      </x:c>
      <x:c r="Z32" s="24" t="str">
        <x:v>Périmée (0/6)</x:v>
      </x:c>
      <x:c r="AA32" s="23" t="str">
        <x:v>Requalifier QA et publication du candidat ; accord non consigné.</x:v>
      </x:c>
      <x:c r="AB32" s="21" t="str">
        <x:v>1a63ecf787bc8d20e322314e1ba17987c83b1198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Périmée (0/6)</x:v>
      </x:c>
      <x:c r="X33" s="24" t="str">
        <x:v>Périmée (0/6)</x:v>
      </x:c>
      <x:c r="Y33" s="24" t="str">
        <x:v>Non consignée</x:v>
      </x:c>
      <x:c r="Z33" s="24" t="str">
        <x:v>Périmée (0/6)</x:v>
      </x:c>
      <x:c r="AA33" s="23" t="str">
        <x:v>Requalifier QA et publication du candidat ; accord non consigné.</x:v>
      </x:c>
      <x:c r="AB33" s="21" t="str">
        <x:v>1a63ecf787bc8d20e322314e1ba17987c83b1198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Périmée (0/6)</x:v>
      </x:c>
      <x:c r="X34" s="24" t="str">
        <x:v>Périmée (0/6)</x:v>
      </x:c>
      <x:c r="Y34" s="24" t="str">
        <x:v>Non consignée</x:v>
      </x:c>
      <x:c r="Z34" s="24" t="str">
        <x:v>Périmée (0/6)</x:v>
      </x:c>
      <x:c r="AA34" s="23" t="str">
        <x:v>Requalifier QA et publication du candidat ; accord non consigné.</x:v>
      </x:c>
      <x:c r="AB34" s="21" t="str">
        <x:v>1a63ecf787bc8d20e322314e1ba17987c83b1198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Commun</x:v>
      </x:c>
      <x:c r="R35" s="24" t="str">
        <x:v>Commun</x:v>
      </x:c>
      <x:c r="S35" s="24" t="str">
        <x:v>Commun</x:v>
      </x:c>
      <x:c r="T35" s="24" t="str">
        <x:v>Commun</x:v>
      </x:c>
      <x:c r="U35" s="24" t="str">
        <x:v>Commun</x:v>
      </x:c>
      <x:c r="V35" s="24" t="str">
        <x:v>Commun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Périmée (0/6)</x:v>
      </x:c>
      <x:c r="AA35" s="23" t="str">
        <x:v>Compléter le pack ; consigner QA, accord et publication.</x:v>
      </x:c>
      <x:c r="AB35" s="21" t="str">
        <x:v>1a63ecf787bc8d20e322314e1ba17987c83b1198</x:v>
      </x:c>
      <x:c r="AC35" s="21" t="str">
        <x:v>À intégrer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Périmée (0/6)</x:v>
      </x:c>
      <x:c r="X36" s="24" t="str">
        <x:v>Périmée (0/6)</x:v>
      </x:c>
      <x:c r="Y36" s="24" t="str">
        <x:v>Non consignée</x:v>
      </x:c>
      <x:c r="Z36" s="24" t="str">
        <x:v>Périmée (0/6)</x:v>
      </x:c>
      <x:c r="AA36" s="23" t="str">
        <x:v>Requalifier QA et publication du candidat ; accord non consigné.</x:v>
      </x:c>
      <x:c r="AB36" s="21" t="str">
        <x:v>1a63ecf787bc8d20e322314e1ba17987c83b1198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04 proposé</x:v>
      </x:c>
      <x:c r="E37" s="25" t="str">
        <x:v>Animaux</x:v>
      </x:c>
      <x:c r="F37" s="24" t="str">
        <x:f>IF(AND(G37=8,COUNTIF(Q37:V37,"Atlas")=6),"Intégré","À faire")</x:f>
        <x:v>À faire</x:v>
      </x:c>
      <x:c r="G37" s="27" t="n">
        <x:f>COUNTIF(I37:P37,"Présent")</x:f>
        <x:v>0</x:v>
      </x:c>
      <x:c r="H37" s="24" t="str">
        <x:v>À assembler</x:v>
      </x:c>
      <x:c r="I37" s="24" t="str">
        <x:v>Référence</x:v>
      </x:c>
      <x:c r="J37" s="24" t="str">
        <x:v>Manquant</x:v>
      </x:c>
      <x:c r="K37" s="24" t="str">
        <x:v>Manquant</x:v>
      </x:c>
      <x:c r="L37" s="24" t="str">
        <x:v>Manquant</x:v>
      </x:c>
      <x:c r="M37" s="24" t="str">
        <x:v>Manquant</x:v>
      </x:c>
      <x:c r="N37" s="24" t="str">
        <x:v>Manquant</x:v>
      </x:c>
      <x:c r="O37" s="24" t="str">
        <x:v>Manquant</x:v>
      </x:c>
      <x:c r="P37" s="24" t="str">
        <x:v>Manquant</x:v>
      </x:c>
      <x:c r="Q37" s="24" t="str">
        <x:v>Commun</x:v>
      </x:c>
      <x:c r="R37" s="24" t="str">
        <x:v>Commun</x:v>
      </x:c>
      <x:c r="S37" s="24" t="str">
        <x:v>Commun</x:v>
      </x:c>
      <x:c r="T37" s="24" t="str">
        <x:v>Commun</x:v>
      </x:c>
      <x:c r="U37" s="24" t="str">
        <x:v>Commun</x:v>
      </x:c>
      <x:c r="V37" s="24" t="str">
        <x:v>Commun</x:v>
      </x:c>
      <x:c r="W37" s="24" t="str">
        <x:v>Non consignée</x:v>
      </x:c>
      <x:c r="X37" s="24" t="str">
        <x:v>Non consignée</x:v>
      </x:c>
      <x:c r="Y37" s="24" t="str">
        <x:v>Non consignée</x:v>
      </x:c>
      <x:c r="Z37" s="24" t="str">
        <x:v>Périmée (0/6)</x:v>
      </x:c>
      <x:c r="AA37" s="23" t="str">
        <x:v>Compléter le pack ; consigner QA, accord et publication.</x:v>
      </x:c>
      <x:c r="AB37" s="21" t="str">
        <x:v>1a63ecf787bc8d20e322314e1ba17987c83b1198</x:v>
      </x:c>
      <x:c r="AC37" s="21" t="str">
        <x:v>À intégrer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08</x:v>
      </x:c>
      <x:c r="E38" s="25" t="str">
        <x:v>Objets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Archivé Drive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Non consignée</x:v>
      </x:c>
      <x:c r="Z38" s="24" t="str">
        <x:v>Périmée (0/6)</x:v>
      </x:c>
      <x:c r="AA38" s="23" t="str">
        <x:v>Accord et publication du lot non consignés.</x:v>
      </x:c>
      <x:c r="AB38" s="21" t="str">
        <x:v>9184f780a23f21687350020fa3448d58e4e0aadd</x:v>
      </x:c>
      <x:c r="AC38" s="21" t="str">
        <x:v>En cours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Périmée (0/6)</x:v>
      </x:c>
      <x:c r="X39" s="24" t="str">
        <x:v>Périmée (0/6)</x:v>
      </x:c>
      <x:c r="Y39" s="24" t="str">
        <x:v>Non consignée</x:v>
      </x:c>
      <x:c r="Z39" s="24" t="str">
        <x:v>Périmée (0/6)</x:v>
      </x:c>
      <x:c r="AA39" s="23" t="str">
        <x:v>Requalifier QA et publication du candidat ; accord non consigné.</x:v>
      </x:c>
      <x:c r="AB39" s="21" t="str">
        <x:v>1a63ecf787bc8d20e322314e1ba17987c83b1198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Périmée (0/6)</x:v>
      </x:c>
      <x:c r="X40" s="24" t="str">
        <x:v>Périmée (0/6)</x:v>
      </x:c>
      <x:c r="Y40" s="24" t="str">
        <x:v>Non consignée</x:v>
      </x:c>
      <x:c r="Z40" s="24" t="str">
        <x:v>Périmée (0/6)</x:v>
      </x:c>
      <x:c r="AA40" s="23" t="str">
        <x:v>Requalifier QA et publication du candidat ; accord non consigné.</x:v>
      </x:c>
      <x:c r="AB40" s="21" t="str">
        <x:v>1a63ecf787bc8d20e322314e1ba17987c83b1198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Périmée (0/6)</x:v>
      </x:c>
      <x:c r="X41" s="24" t="str">
        <x:v>Périmée (0/6)</x:v>
      </x:c>
      <x:c r="Y41" s="24" t="str">
        <x:v>Non consignée</x:v>
      </x:c>
      <x:c r="Z41" s="24" t="str">
        <x:v>Périmée (0/6)</x:v>
      </x:c>
      <x:c r="AA41" s="23" t="str">
        <x:v>Requalifier QA et publication du candidat ; accord non consigné.</x:v>
      </x:c>
      <x:c r="AB41" s="21" t="str">
        <x:v>1a63ecf787bc8d20e322314e1ba17987c83b1198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Périmée (0/6)</x:v>
      </x:c>
      <x:c r="X42" s="24" t="str">
        <x:v>Périmée (0/6)</x:v>
      </x:c>
      <x:c r="Y42" s="24" t="str">
        <x:v>Non consignée</x:v>
      </x:c>
      <x:c r="Z42" s="24" t="str">
        <x:v>Périmée (0/6)</x:v>
      </x:c>
      <x:c r="AA42" s="23" t="str">
        <x:v>Requalifier QA et publication du candidat ; accord non consigné.</x:v>
      </x:c>
      <x:c r="AB42" s="21" t="str">
        <x:v>1a63ecf787bc8d20e322314e1ba17987c83b1198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Périmée (0/6)</x:v>
      </x:c>
      <x:c r="X43" s="24" t="str">
        <x:v>Périmée (0/6)</x:v>
      </x:c>
      <x:c r="Y43" s="24" t="str">
        <x:v>Non consignée</x:v>
      </x:c>
      <x:c r="Z43" s="24" t="str">
        <x:v>Périmée (0/6)</x:v>
      </x:c>
      <x:c r="AA43" s="23" t="str">
        <x:v>Requalifier QA et publication du candidat ; accord non consigné.</x:v>
      </x:c>
      <x:c r="AB43" s="21" t="str">
        <x:v>1a63ecf787bc8d20e322314e1ba17987c83b1198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Périmée (0/6)</x:v>
      </x:c>
      <x:c r="X44" s="24" t="str">
        <x:v>Périmée (0/6)</x:v>
      </x:c>
      <x:c r="Y44" s="24" t="str">
        <x:v>Non consignée</x:v>
      </x:c>
      <x:c r="Z44" s="24" t="str">
        <x:v>Périmée (0/6)</x:v>
      </x:c>
      <x:c r="AA44" s="23" t="str">
        <x:v>Requalifier QA et publication du candidat ; accord non consigné.</x:v>
      </x:c>
      <x:c r="AB44" s="21" t="str">
        <x:v>1a63ecf787bc8d20e322314e1ba17987c83b1198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Périmée (0/6)</x:v>
      </x:c>
      <x:c r="X45" s="24" t="str">
        <x:v>Périmée (0/6)</x:v>
      </x:c>
      <x:c r="Y45" s="24" t="str">
        <x:v>Non consignée</x:v>
      </x:c>
      <x:c r="Z45" s="24" t="str">
        <x:v>Périmée (0/6)</x:v>
      </x:c>
      <x:c r="AA45" s="23" t="str">
        <x:v>Requalifier QA et publication du candidat ; accord non consigné.</x:v>
      </x:c>
      <x:c r="AB45" s="21" t="str">
        <x:v>1a63ecf787bc8d20e322314e1ba17987c83b1198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Périmée (0/6)</x:v>
      </x:c>
      <x:c r="X46" s="24" t="str">
        <x:v>Périmée (0/6)</x:v>
      </x:c>
      <x:c r="Y46" s="24" t="str">
        <x:v>Non consignée</x:v>
      </x:c>
      <x:c r="Z46" s="24" t="str">
        <x:v>Périmée (0/6)</x:v>
      </x:c>
      <x:c r="AA46" s="23" t="str">
        <x:v>Requalifier QA et publication du candidat ; accord non consigné.</x:v>
      </x:c>
      <x:c r="AB46" s="21" t="str">
        <x:v>1a63ecf787bc8d20e322314e1ba17987c83b1198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Périmée (0/6)</x:v>
      </x:c>
      <x:c r="X47" s="24" t="str">
        <x:v>Périmée (0/6)</x:v>
      </x:c>
      <x:c r="Y47" s="24" t="str">
        <x:v>Non consignée</x:v>
      </x:c>
      <x:c r="Z47" s="24" t="str">
        <x:v>Périmée (0/6)</x:v>
      </x:c>
      <x:c r="AA47" s="23" t="str">
        <x:v>Requalifier QA et publication du candidat ; accord non consigné.</x:v>
      </x:c>
      <x:c r="AB47" s="21" t="str">
        <x:v>1a63ecf787bc8d20e322314e1ba17987c83b1198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Périmée (0/6)</x:v>
      </x:c>
      <x:c r="X48" s="24" t="str">
        <x:v>Périmée (0/6)</x:v>
      </x:c>
      <x:c r="Y48" s="24" t="str">
        <x:v>Non consignée</x:v>
      </x:c>
      <x:c r="Z48" s="24" t="str">
        <x:v>Périmée (0/6)</x:v>
      </x:c>
      <x:c r="AA48" s="23" t="str">
        <x:v>Requalifier QA et publication du candidat ; accord non consigné.</x:v>
      </x:c>
      <x:c r="AB48" s="21" t="str">
        <x:v>1a63ecf787bc8d20e322314e1ba17987c83b1198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Périmée (0/6)</x:v>
      </x:c>
      <x:c r="X49" s="24" t="str">
        <x:v>Périmée (0/6)</x:v>
      </x:c>
      <x:c r="Y49" s="24" t="str">
        <x:v>Non consignée</x:v>
      </x:c>
      <x:c r="Z49" s="24" t="str">
        <x:v>Périmée (0/6)</x:v>
      </x:c>
      <x:c r="AA49" s="23" t="str">
        <x:v>Requalifier QA et publication du candidat ; accord non consigné.</x:v>
      </x:c>
      <x:c r="AB49" s="21" t="str">
        <x:v>1a63ecf787bc8d20e322314e1ba17987c83b1198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Périmée (0/6)</x:v>
      </x:c>
      <x:c r="X50" s="24" t="str">
        <x:v>Périmée (0/6)</x:v>
      </x:c>
      <x:c r="Y50" s="24" t="str">
        <x:v>Non consignée</x:v>
      </x:c>
      <x:c r="Z50" s="24" t="str">
        <x:v>Périmée (0/6)</x:v>
      </x:c>
      <x:c r="AA50" s="23" t="str">
        <x:v>Requalifier QA et publication du candidat ; accord non consigné.</x:v>
      </x:c>
      <x:c r="AB50" s="21" t="str">
        <x:v>1a63ecf787bc8d20e322314e1ba17987c83b1198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Périmée (0/6)</x:v>
      </x:c>
      <x:c r="X51" s="24" t="str">
        <x:v>Périmée (0/6)</x:v>
      </x:c>
      <x:c r="Y51" s="24" t="str">
        <x:v>Non consignée</x:v>
      </x:c>
      <x:c r="Z51" s="24" t="str">
        <x:v>Périmée (0/6)</x:v>
      </x:c>
      <x:c r="AA51" s="23" t="str">
        <x:v>Requalifier QA et publication du candidat ; accord non consigné.</x:v>
      </x:c>
      <x:c r="AB51" s="21" t="str">
        <x:v>1a63ecf787bc8d20e322314e1ba17987c83b1198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Périmée (0/6)</x:v>
      </x:c>
      <x:c r="X52" s="24" t="str">
        <x:v>Périmée (0/6)</x:v>
      </x:c>
      <x:c r="Y52" s="24" t="str">
        <x:v>Non consignée</x:v>
      </x:c>
      <x:c r="Z52" s="24" t="str">
        <x:v>Périmée (0/6)</x:v>
      </x:c>
      <x:c r="AA52" s="23" t="str">
        <x:v>Requalifier QA et publication du candidat ; accord non consigné.</x:v>
      </x:c>
      <x:c r="AB52" s="21" t="str">
        <x:v>1a63ecf787bc8d20e322314e1ba17987c83b1198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Périmée (0/6)</x:v>
      </x:c>
      <x:c r="X53" s="24" t="str">
        <x:v>Périmée (0/6)</x:v>
      </x:c>
      <x:c r="Y53" s="24" t="str">
        <x:v>Non consignée</x:v>
      </x:c>
      <x:c r="Z53" s="24" t="str">
        <x:v>Périmée (0/6)</x:v>
      </x:c>
      <x:c r="AA53" s="23" t="str">
        <x:v>Requalifier QA et publication du candidat ; accord non consigné.</x:v>
      </x:c>
      <x:c r="AB53" s="21" t="str">
        <x:v>1a63ecf787bc8d20e322314e1ba17987c83b1198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Périmée (0/6)</x:v>
      </x:c>
      <x:c r="X54" s="24" t="str">
        <x:v>Périmée (0/6)</x:v>
      </x:c>
      <x:c r="Y54" s="24" t="str">
        <x:v>Non consignée</x:v>
      </x:c>
      <x:c r="Z54" s="24" t="str">
        <x:v>Périmée (0/6)</x:v>
      </x:c>
      <x:c r="AA54" s="23" t="str">
        <x:v>Requalifier QA et publication du candidat ; accord non consigné.</x:v>
      </x:c>
      <x:c r="AB54" s="21" t="str">
        <x:v>1a63ecf787bc8d20e322314e1ba17987c83b1198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Périmée (0/6)</x:v>
      </x:c>
      <x:c r="X55" s="24" t="str">
        <x:v>Périmée (0/6)</x:v>
      </x:c>
      <x:c r="Y55" s="24" t="str">
        <x:v>Non consignée</x:v>
      </x:c>
      <x:c r="Z55" s="24" t="str">
        <x:v>Périmée (0/6)</x:v>
      </x:c>
      <x:c r="AA55" s="23" t="str">
        <x:v>Requalifier QA et publication du candidat ; accord non consigné.</x:v>
      </x:c>
      <x:c r="AB55" s="21" t="str">
        <x:v>1a63ecf787bc8d20e322314e1ba17987c83b1198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Périmée (0/6)</x:v>
      </x:c>
      <x:c r="X56" s="24" t="str">
        <x:v>Périmée (0/6)</x:v>
      </x:c>
      <x:c r="Y56" s="24" t="str">
        <x:v>Non consignée</x:v>
      </x:c>
      <x:c r="Z56" s="24" t="str">
        <x:v>Périmée (0/6)</x:v>
      </x:c>
      <x:c r="AA56" s="23" t="str">
        <x:v>Requalifier QA et publication du candidat ; accord non consigné.</x:v>
      </x:c>
      <x:c r="AB56" s="21" t="str">
        <x:v>1a63ecf787bc8d20e322314e1ba17987c83b1198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Périmée (0/6)</x:v>
      </x:c>
      <x:c r="X57" s="24" t="str">
        <x:v>Périmée (0/6)</x:v>
      </x:c>
      <x:c r="Y57" s="24" t="str">
        <x:v>Non consignée</x:v>
      </x:c>
      <x:c r="Z57" s="24" t="str">
        <x:v>Périmée (0/6)</x:v>
      </x:c>
      <x:c r="AA57" s="23" t="str">
        <x:v>Requalifier QA et publication du candidat ; accord non consigné.</x:v>
      </x:c>
      <x:c r="AB57" s="21" t="str">
        <x:v>1a63ecf787bc8d20e322314e1ba17987c83b1198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Périmée (0/6)</x:v>
      </x:c>
      <x:c r="X58" s="24" t="str">
        <x:v>Périmée (0/6)</x:v>
      </x:c>
      <x:c r="Y58" s="24" t="str">
        <x:v>Non consignée</x:v>
      </x:c>
      <x:c r="Z58" s="24" t="str">
        <x:v>Périmée (0/6)</x:v>
      </x:c>
      <x:c r="AA58" s="23" t="str">
        <x:v>Requalifier QA et publication du candidat ; accord non consigné.</x:v>
      </x:c>
      <x:c r="AB58" s="21" t="str">
        <x:v>1a63ecf787bc8d20e322314e1ba17987c83b1198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Périmée (0/6)</x:v>
      </x:c>
      <x:c r="X59" s="24" t="str">
        <x:v>Périmée (0/6)</x:v>
      </x:c>
      <x:c r="Y59" s="24" t="str">
        <x:v>Non consignée</x:v>
      </x:c>
      <x:c r="Z59" s="24" t="str">
        <x:v>Périmée (0/6)</x:v>
      </x:c>
      <x:c r="AA59" s="23" t="str">
        <x:v>Requalifier QA et publication du candidat ; accord non consigné.</x:v>
      </x:c>
      <x:c r="AB59" s="21" t="str">
        <x:v>1a63ecf787bc8d20e322314e1ba17987c83b1198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Périmée (0/6)</x:v>
      </x:c>
      <x:c r="X60" s="24" t="str">
        <x:v>Périmée (0/6)</x:v>
      </x:c>
      <x:c r="Y60" s="24" t="str">
        <x:v>Non consignée</x:v>
      </x:c>
      <x:c r="Z60" s="24" t="str">
        <x:v>Périmée (0/6)</x:v>
      </x:c>
      <x:c r="AA60" s="23" t="str">
        <x:v>Requalifier QA et publication du candidat ; accord non consigné.</x:v>
      </x:c>
      <x:c r="AB60" s="21" t="str">
        <x:v>1a63ecf787bc8d20e322314e1ba17987c83b1198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Périmée (0/6)</x:v>
      </x:c>
      <x:c r="X61" s="24" t="str">
        <x:v>Périmée (0/6)</x:v>
      </x:c>
      <x:c r="Y61" s="24" t="str">
        <x:v>Non consignée</x:v>
      </x:c>
      <x:c r="Z61" s="24" t="str">
        <x:v>Périmée (0/6)</x:v>
      </x:c>
      <x:c r="AA61" s="23" t="str">
        <x:v>Requalifier QA et publication du candidat ; accord non consigné.</x:v>
      </x:c>
      <x:c r="AB61" s="21" t="str">
        <x:v>1a63ecf787bc8d20e322314e1ba17987c83b1198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Périmée (0/6)</x:v>
      </x:c>
      <x:c r="X62" s="24" t="str">
        <x:v>Périmée (0/6)</x:v>
      </x:c>
      <x:c r="Y62" s="24" t="str">
        <x:v>Non consignée</x:v>
      </x:c>
      <x:c r="Z62" s="24" t="str">
        <x:v>Périmée (0/6)</x:v>
      </x:c>
      <x:c r="AA62" s="23" t="str">
        <x:v>Requalifier QA et publication du candidat ; accord non consigné.</x:v>
      </x:c>
      <x:c r="AB62" s="21" t="str">
        <x:v>1a63ecf787bc8d20e322314e1ba17987c83b1198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Périmée (0/6)</x:v>
      </x:c>
      <x:c r="X63" s="24" t="str">
        <x:v>Périmée (0/6)</x:v>
      </x:c>
      <x:c r="Y63" s="24" t="str">
        <x:v>Non consignée</x:v>
      </x:c>
      <x:c r="Z63" s="24" t="str">
        <x:v>Périmée (0/6)</x:v>
      </x:c>
      <x:c r="AA63" s="23" t="str">
        <x:v>Requalifier QA et publication du candidat ; accord non consigné.</x:v>
      </x:c>
      <x:c r="AB63" s="21" t="str">
        <x:v>1a63ecf787bc8d20e322314e1ba17987c83b1198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Périmée (0/6)</x:v>
      </x:c>
      <x:c r="X64" s="24" t="str">
        <x:v>Périmée (0/6)</x:v>
      </x:c>
      <x:c r="Y64" s="24" t="str">
        <x:v>Non consignée</x:v>
      </x:c>
      <x:c r="Z64" s="24" t="str">
        <x:v>Périmée (0/6)</x:v>
      </x:c>
      <x:c r="AA64" s="23" t="str">
        <x:v>Requalifier QA et publication du candidat ; accord non consigné.</x:v>
      </x:c>
      <x:c r="AB64" s="21" t="str">
        <x:v>1a63ecf787bc8d20e322314e1ba17987c83b1198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Périmée (0/6)</x:v>
      </x:c>
      <x:c r="X65" s="24" t="str">
        <x:v>Périmée (0/6)</x:v>
      </x:c>
      <x:c r="Y65" s="24" t="str">
        <x:v>Non consignée</x:v>
      </x:c>
      <x:c r="Z65" s="24" t="str">
        <x:v>Périmée (0/6)</x:v>
      </x:c>
      <x:c r="AA65" s="23" t="str">
        <x:v>Requalifier QA et publication du candidat ; accord non consigné.</x:v>
      </x:c>
      <x:c r="AB65" s="21" t="str">
        <x:v>1a63ecf787bc8d20e322314e1ba17987c83b1198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Périmée (0/6)</x:v>
      </x:c>
      <x:c r="X66" s="24" t="str">
        <x:v>Périmée (0/6)</x:v>
      </x:c>
      <x:c r="Y66" s="24" t="str">
        <x:v>Non consignée</x:v>
      </x:c>
      <x:c r="Z66" s="24" t="str">
        <x:v>Périmée (0/6)</x:v>
      </x:c>
      <x:c r="AA66" s="23" t="str">
        <x:v>Requalifier QA et publication du candidat ; accord non consigné.</x:v>
      </x:c>
      <x:c r="AB66" s="21" t="str">
        <x:v>1a63ecf787bc8d20e322314e1ba17987c83b1198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Périmée (0/6)</x:v>
      </x:c>
      <x:c r="X67" s="24" t="str">
        <x:v>Périmée (0/6)</x:v>
      </x:c>
      <x:c r="Y67" s="24" t="str">
        <x:v>Non consignée</x:v>
      </x:c>
      <x:c r="Z67" s="24" t="str">
        <x:v>Périmée (0/6)</x:v>
      </x:c>
      <x:c r="AA67" s="23" t="str">
        <x:v>Requalifier QA et publication du candidat ; accord non consigné.</x:v>
      </x:c>
      <x:c r="AB67" s="21" t="str">
        <x:v>1a63ecf787bc8d20e322314e1ba17987c83b1198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Périmée (0/6)</x:v>
      </x:c>
      <x:c r="X68" s="24" t="str">
        <x:v>Périmée (0/6)</x:v>
      </x:c>
      <x:c r="Y68" s="24" t="str">
        <x:v>Non consignée</x:v>
      </x:c>
      <x:c r="Z68" s="24" t="str">
        <x:v>Périmée (0/6)</x:v>
      </x:c>
      <x:c r="AA68" s="23" t="str">
        <x:v>Requalifier QA et publication du candidat ; accord non consigné.</x:v>
      </x:c>
      <x:c r="AB68" s="21" t="str">
        <x:v>1a63ecf787bc8d20e322314e1ba17987c83b1198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Périmée (0/6)</x:v>
      </x:c>
      <x:c r="X69" s="24" t="str">
        <x:v>Périmée (0/6)</x:v>
      </x:c>
      <x:c r="Y69" s="24" t="str">
        <x:v>Non consignée</x:v>
      </x:c>
      <x:c r="Z69" s="24" t="str">
        <x:v>Périmée (0/6)</x:v>
      </x:c>
      <x:c r="AA69" s="23" t="str">
        <x:v>Requalifier QA et publication du candidat ; accord non consigné.</x:v>
      </x:c>
      <x:c r="AB69" s="21" t="str">
        <x:v>1a63ecf787bc8d20e322314e1ba17987c83b1198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Périmée (0/6)</x:v>
      </x:c>
      <x:c r="X70" s="24" t="str">
        <x:v>Périmée (0/6)</x:v>
      </x:c>
      <x:c r="Y70" s="24" t="str">
        <x:v>Non consignée</x:v>
      </x:c>
      <x:c r="Z70" s="24" t="str">
        <x:v>Périmée (0/6)</x:v>
      </x:c>
      <x:c r="AA70" s="23" t="str">
        <x:v>Requalifier QA et publication du candidat ; accord non consigné.</x:v>
      </x:c>
      <x:c r="AB70" s="21" t="str">
        <x:v>1a63ecf787bc8d20e322314e1ba17987c83b1198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Périmée (0/6)</x:v>
      </x:c>
      <x:c r="X71" s="24" t="str">
        <x:v>Périmée (0/6)</x:v>
      </x:c>
      <x:c r="Y71" s="24" t="str">
        <x:v>Non consignée</x:v>
      </x:c>
      <x:c r="Z71" s="24" t="str">
        <x:v>Périmée (0/6)</x:v>
      </x:c>
      <x:c r="AA71" s="23" t="str">
        <x:v>Requalifier QA et publication du candidat ; accord non consigné.</x:v>
      </x:c>
      <x:c r="AB71" s="21" t="str">
        <x:v>1a63ecf787bc8d20e322314e1ba17987c83b1198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Périmée (0/6)</x:v>
      </x:c>
      <x:c r="X72" s="24" t="str">
        <x:v>Périmée (0/6)</x:v>
      </x:c>
      <x:c r="Y72" s="24" t="str">
        <x:v>Non consignée</x:v>
      </x:c>
      <x:c r="Z72" s="24" t="str">
        <x:v>Périmée (0/6)</x:v>
      </x:c>
      <x:c r="AA72" s="23" t="str">
        <x:v>Requalifier QA et publication du candidat ; accord non consigné.</x:v>
      </x:c>
      <x:c r="AB72" s="21" t="str">
        <x:v>1a63ecf787bc8d20e322314e1ba17987c83b1198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Périmée (0/6)</x:v>
      </x:c>
      <x:c r="X73" s="24" t="str">
        <x:v>Périmée (0/6)</x:v>
      </x:c>
      <x:c r="Y73" s="24" t="str">
        <x:v>Non consignée</x:v>
      </x:c>
      <x:c r="Z73" s="24" t="str">
        <x:v>Périmée (0/6)</x:v>
      </x:c>
      <x:c r="AA73" s="23" t="str">
        <x:v>Requalifier QA et publication du candidat ; accord non consigné.</x:v>
      </x:c>
      <x:c r="AB73" s="21" t="str">
        <x:v>1a63ecf787bc8d20e322314e1ba17987c83b1198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Périmée (0/6)</x:v>
      </x:c>
      <x:c r="X74" s="24" t="str">
        <x:v>Périmée (0/6)</x:v>
      </x:c>
      <x:c r="Y74" s="24" t="str">
        <x:v>Non consignée</x:v>
      </x:c>
      <x:c r="Z74" s="24" t="str">
        <x:v>Périmée (0/6)</x:v>
      </x:c>
      <x:c r="AA74" s="23" t="str">
        <x:v>Requalifier QA et publication du candidat ; accord non consigné.</x:v>
      </x:c>
      <x:c r="AB74" s="21" t="str">
        <x:v>1a63ecf787bc8d20e322314e1ba17987c83b1198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Périmée (0/6)</x:v>
      </x:c>
      <x:c r="X75" s="24" t="str">
        <x:v>Périmée (0/6)</x:v>
      </x:c>
      <x:c r="Y75" s="24" t="str">
        <x:v>Non consignée</x:v>
      </x:c>
      <x:c r="Z75" s="24" t="str">
        <x:v>Périmée (0/6)</x:v>
      </x:c>
      <x:c r="AA75" s="23" t="str">
        <x:v>Requalifier QA et publication du candidat ; accord non consigné.</x:v>
      </x:c>
      <x:c r="AB75" s="21" t="str">
        <x:v>1a63ecf787bc8d20e322314e1ba17987c83b1198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Périmée (0/6)</x:v>
      </x:c>
      <x:c r="X76" s="24" t="str">
        <x:v>Périmée (0/6)</x:v>
      </x:c>
      <x:c r="Y76" s="24" t="str">
        <x:v>Non consignée</x:v>
      </x:c>
      <x:c r="Z76" s="24" t="str">
        <x:v>Périmée (0/6)</x:v>
      </x:c>
      <x:c r="AA76" s="23" t="str">
        <x:v>Requalifier QA et publication du candidat ; accord non consigné.</x:v>
      </x:c>
      <x:c r="AB76" s="21" t="str">
        <x:v>1a63ecf787bc8d20e322314e1ba17987c83b1198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Périmée (0/6)</x:v>
      </x:c>
      <x:c r="X77" s="24" t="str">
        <x:v>Périmée (0/6)</x:v>
      </x:c>
      <x:c r="Y77" s="24" t="str">
        <x:v>Non consignée</x:v>
      </x:c>
      <x:c r="Z77" s="24" t="str">
        <x:v>Périmée (0/6)</x:v>
      </x:c>
      <x:c r="AA77" s="23" t="str">
        <x:v>Requalifier QA et publication du candidat ; accord non consigné.</x:v>
      </x:c>
      <x:c r="AB77" s="21" t="str">
        <x:v>1a63ecf787bc8d20e322314e1ba17987c83b1198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Périmée (0/6)</x:v>
      </x:c>
      <x:c r="X78" s="24" t="str">
        <x:v>Périmée (0/6)</x:v>
      </x:c>
      <x:c r="Y78" s="24" t="str">
        <x:v>Non consignée</x:v>
      </x:c>
      <x:c r="Z78" s="24" t="str">
        <x:v>Périmée (0/6)</x:v>
      </x:c>
      <x:c r="AA78" s="23" t="str">
        <x:v>Requalifier QA et publication du candidat ; accord non consigné.</x:v>
      </x:c>
      <x:c r="AB78" s="21" t="str">
        <x:v>1a63ecf787bc8d20e322314e1ba17987c83b1198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Périmée (0/6)</x:v>
      </x:c>
      <x:c r="X79" s="24" t="str">
        <x:v>Périmée (0/6)</x:v>
      </x:c>
      <x:c r="Y79" s="24" t="str">
        <x:v>Non consignée</x:v>
      </x:c>
      <x:c r="Z79" s="24" t="str">
        <x:v>Périmée (0/6)</x:v>
      </x:c>
      <x:c r="AA79" s="23" t="str">
        <x:v>Requalifier QA et publication du candidat ; accord non consigné.</x:v>
      </x:c>
      <x:c r="AB79" s="21" t="str">
        <x:v>1a63ecf787bc8d20e322314e1ba17987c83b1198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Périmée (0/6)</x:v>
      </x:c>
      <x:c r="X80" s="24" t="str">
        <x:v>Périmée (0/6)</x:v>
      </x:c>
      <x:c r="Y80" s="24" t="str">
        <x:v>Non consignée</x:v>
      </x:c>
      <x:c r="Z80" s="24" t="str">
        <x:v>Périmée (0/6)</x:v>
      </x:c>
      <x:c r="AA80" s="23" t="str">
        <x:v>Requalifier QA et publication du candidat ; accord non consigné.</x:v>
      </x:c>
      <x:c r="AB80" s="21" t="str">
        <x:v>1a63ecf787bc8d20e322314e1ba17987c83b1198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Périmée (0/6)</x:v>
      </x:c>
      <x:c r="X81" s="24" t="str">
        <x:v>Périmée (0/6)</x:v>
      </x:c>
      <x:c r="Y81" s="24" t="str">
        <x:v>Non consignée</x:v>
      </x:c>
      <x:c r="Z81" s="24" t="str">
        <x:v>Périmée (0/6)</x:v>
      </x:c>
      <x:c r="AA81" s="23" t="str">
        <x:v>Requalifier QA et publication du candidat ; accord non consigné.</x:v>
      </x:c>
      <x:c r="AB81" s="21" t="str">
        <x:v>1a63ecf787bc8d20e322314e1ba17987c83b1198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Périmée (0/6)</x:v>
      </x:c>
      <x:c r="X82" s="24" t="str">
        <x:v>Périmée (0/6)</x:v>
      </x:c>
      <x:c r="Y82" s="24" t="str">
        <x:v>Non consignée</x:v>
      </x:c>
      <x:c r="Z82" s="24" t="str">
        <x:v>Périmée (0/6)</x:v>
      </x:c>
      <x:c r="AA82" s="23" t="str">
        <x:v>Requalifier QA et publication du candidat ; accord non consigné.</x:v>
      </x:c>
      <x:c r="AB82" s="21" t="str">
        <x:v>1a63ecf787bc8d20e322314e1ba17987c83b1198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Périmée (0/6)</x:v>
      </x:c>
      <x:c r="X83" s="24" t="str">
        <x:v>Périmée (0/6)</x:v>
      </x:c>
      <x:c r="Y83" s="24" t="str">
        <x:v>Non consignée</x:v>
      </x:c>
      <x:c r="Z83" s="24" t="str">
        <x:v>Périmée (0/6)</x:v>
      </x:c>
      <x:c r="AA83" s="23" t="str">
        <x:v>Requalifier QA et publication du candidat ; accord non consigné.</x:v>
      </x:c>
      <x:c r="AB83" s="21" t="str">
        <x:v>1a63ecf787bc8d20e322314e1ba17987c83b1198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Périmée (0/6)</x:v>
      </x:c>
      <x:c r="X84" s="24" t="str">
        <x:v>Périmée (0/6)</x:v>
      </x:c>
      <x:c r="Y84" s="24" t="str">
        <x:v>Non consignée</x:v>
      </x:c>
      <x:c r="Z84" s="24" t="str">
        <x:v>Périmée (0/6)</x:v>
      </x:c>
      <x:c r="AA84" s="23" t="str">
        <x:v>Requalifier QA et publication du candidat ; accord non consigné.</x:v>
      </x:c>
      <x:c r="AB84" s="21" t="str">
        <x:v>1a63ecf787bc8d20e322314e1ba17987c83b1198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Périmée (0/6)</x:v>
      </x:c>
      <x:c r="X85" s="24" t="str">
        <x:v>Périmée (0/6)</x:v>
      </x:c>
      <x:c r="Y85" s="24" t="str">
        <x:v>Non consignée</x:v>
      </x:c>
      <x:c r="Z85" s="24" t="str">
        <x:v>Périmée (0/6)</x:v>
      </x:c>
      <x:c r="AA85" s="23" t="str">
        <x:v>Requalifier QA et publication du candidat ; accord non consigné.</x:v>
      </x:c>
      <x:c r="AB85" s="21" t="str">
        <x:v>1a63ecf787bc8d20e322314e1ba17987c83b1198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Périmée (0/6)</x:v>
      </x:c>
      <x:c r="X86" s="24" t="str">
        <x:v>Périmée (0/6)</x:v>
      </x:c>
      <x:c r="Y86" s="24" t="str">
        <x:v>Non consignée</x:v>
      </x:c>
      <x:c r="Z86" s="24" t="str">
        <x:v>Périmée (0/6)</x:v>
      </x:c>
      <x:c r="AA86" s="23" t="str">
        <x:v>Requalifier QA et publication du candidat ; accord non consigné.</x:v>
      </x:c>
      <x:c r="AB86" s="21" t="str">
        <x:v>1a63ecf787bc8d20e322314e1ba17987c83b1198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Périmée (0/6)</x:v>
      </x:c>
      <x:c r="X87" s="24" t="str">
        <x:v>Périmée (0/6)</x:v>
      </x:c>
      <x:c r="Y87" s="24" t="str">
        <x:v>Non consignée</x:v>
      </x:c>
      <x:c r="Z87" s="24" t="str">
        <x:v>Périmée (0/6)</x:v>
      </x:c>
      <x:c r="AA87" s="23" t="str">
        <x:v>Requalifier QA et publication du candidat ; accord non consigné.</x:v>
      </x:c>
      <x:c r="AB87" s="21" t="str">
        <x:v>1a63ecf787bc8d20e322314e1ba17987c83b1198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Périmée (0/6)</x:v>
      </x:c>
      <x:c r="X88" s="24" t="str">
        <x:v>Périmée (0/6)</x:v>
      </x:c>
      <x:c r="Y88" s="24" t="str">
        <x:v>Non consignée</x:v>
      </x:c>
      <x:c r="Z88" s="24" t="str">
        <x:v>Périmée (0/6)</x:v>
      </x:c>
      <x:c r="AA88" s="23" t="str">
        <x:v>Requalifier QA et publication du candidat ; accord non consigné.</x:v>
      </x:c>
      <x:c r="AB88" s="21" t="str">
        <x:v>1a63ecf787bc8d20e322314e1ba17987c83b1198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À planifier</x:v>
      </x:c>
      <x:c r="E89" s="25" t="str">
        <x:v>Actions</x:v>
      </x:c>
      <x:c r="F89" s="24" t="str">
        <x:f>IF(AND(G89=8,COUNTIF(Q89:V89,"Atlas")=6),"Intégré","À faire")</x:f>
        <x:v>À faire</x:v>
      </x:c>
      <x:c r="G89" s="27" t="n">
        <x:f>COUNTIF(I89:P89,"Présent")</x:f>
        <x:v>0</x:v>
      </x:c>
      <x:c r="H89" s="24" t="str">
        <x:v>À assembler</x:v>
      </x:c>
      <x:c r="I89" s="24" t="str">
        <x:v>Référence</x:v>
      </x:c>
      <x:c r="J89" s="24" t="str">
        <x:v>Manquant</x:v>
      </x:c>
      <x:c r="K89" s="24" t="str">
        <x:v>Manquant</x:v>
      </x:c>
      <x:c r="L89" s="24" t="str">
        <x:v>Manquant</x:v>
      </x:c>
      <x:c r="M89" s="24" t="str">
        <x:v>Manquant</x:v>
      </x:c>
      <x:c r="N89" s="24" t="str">
        <x:v>Manquant</x:v>
      </x:c>
      <x:c r="O89" s="24" t="str">
        <x:v>Manquant</x:v>
      </x:c>
      <x:c r="P89" s="24" t="str">
        <x:v>Manquant</x:v>
      </x:c>
      <x:c r="Q89" s="24" t="str">
        <x:v>Commun</x:v>
      </x:c>
      <x:c r="R89" s="24" t="str">
        <x:v>Commun</x:v>
      </x:c>
      <x:c r="S89" s="24" t="str">
        <x:v>Commun</x:v>
      </x:c>
      <x:c r="T89" s="24" t="str">
        <x:v>Commun</x:v>
      </x:c>
      <x:c r="U89" s="24" t="str">
        <x:v>Commun</x:v>
      </x:c>
      <x:c r="V89" s="24" t="str">
        <x:v>Commun</x:v>
      </x:c>
      <x:c r="W89" s="24" t="str">
        <x:v>Non consignée</x:v>
      </x:c>
      <x:c r="X89" s="24" t="str">
        <x:v>Non consignée</x:v>
      </x:c>
      <x:c r="Y89" s="24" t="str">
        <x:v>Non consignée</x:v>
      </x:c>
      <x:c r="Z89" s="24" t="str">
        <x:v>Périmée (0/6)</x:v>
      </x:c>
      <x:c r="AA89" s="23" t="str">
        <x:v>Compléter le pack ; consigner QA, accord et publication.</x:v>
      </x:c>
      <x:c r="AB89" s="21" t="str">
        <x:v>1a63ecf787bc8d20e322314e1ba17987c83b1198</x:v>
      </x:c>
      <x:c r="AC89" s="21" t="str">
        <x:v>À intégrer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À planifier</x:v>
      </x:c>
      <x:c r="E90" s="25" t="str">
        <x:v>Animaux</x:v>
      </x:c>
      <x:c r="F90" s="24" t="str">
        <x:f>IF(AND(G90=8,COUNTIF(Q90:V90,"Atlas")=6),"Intégré","À faire")</x:f>
        <x:v>À faire</x:v>
      </x:c>
      <x:c r="G90" s="27" t="n">
        <x:f>COUNTIF(I90:P90,"Présent")</x:f>
        <x:v>0</x:v>
      </x:c>
      <x:c r="H90" s="24" t="str">
        <x:v>À assembler</x:v>
      </x:c>
      <x:c r="I90" s="24" t="str">
        <x:v>Référence</x:v>
      </x:c>
      <x:c r="J90" s="24" t="str">
        <x:v>Manquant</x:v>
      </x:c>
      <x:c r="K90" s="24" t="str">
        <x:v>Manquant</x:v>
      </x:c>
      <x:c r="L90" s="24" t="str">
        <x:v>Manquant</x:v>
      </x:c>
      <x:c r="M90" s="24" t="str">
        <x:v>Manquant</x:v>
      </x:c>
      <x:c r="N90" s="24" t="str">
        <x:v>Manquant</x:v>
      </x:c>
      <x:c r="O90" s="24" t="str">
        <x:v>Manquant</x:v>
      </x:c>
      <x:c r="P90" s="24" t="str">
        <x:v>Manquant</x:v>
      </x:c>
      <x:c r="Q90" s="24" t="str">
        <x:v>Commun</x:v>
      </x:c>
      <x:c r="R90" s="24" t="str">
        <x:v>Commun</x:v>
      </x:c>
      <x:c r="S90" s="24" t="str">
        <x:v>Commun</x:v>
      </x:c>
      <x:c r="T90" s="24" t="str">
        <x:v>Commun</x:v>
      </x:c>
      <x:c r="U90" s="24" t="str">
        <x:v>Commun</x:v>
      </x:c>
      <x:c r="V90" s="24" t="str">
        <x:v>Commun</x:v>
      </x:c>
      <x:c r="W90" s="24" t="str">
        <x:v>Non consignée</x:v>
      </x:c>
      <x:c r="X90" s="24" t="str">
        <x:v>Non consignée</x:v>
      </x:c>
      <x:c r="Y90" s="24" t="str">
        <x:v>Non consignée</x:v>
      </x:c>
      <x:c r="Z90" s="24" t="str">
        <x:v>Périmée (0/6)</x:v>
      </x:c>
      <x:c r="AA90" s="23" t="str">
        <x:v>Compléter le pack ; consigner QA, accord et publication.</x:v>
      </x:c>
      <x:c r="AB90" s="21" t="str">
        <x:v>1a63ecf787bc8d20e322314e1ba17987c83b1198</x:v>
      </x:c>
      <x:c r="AC90" s="21" t="str">
        <x:v>À intégrer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À planifier</x:v>
      </x:c>
      <x:c r="E91" s="25" t="str">
        <x:v>Actions</x:v>
      </x:c>
      <x:c r="F91" s="24" t="str">
        <x:f>IF(AND(G91=8,COUNTIF(Q91:V91,"Atlas")=6),"Intégré","À faire")</x:f>
        <x:v>À faire</x:v>
      </x:c>
      <x:c r="G91" s="27" t="n">
        <x:f>COUNTIF(I91:P91,"Présent")</x:f>
        <x:v>0</x:v>
      </x:c>
      <x:c r="H91" s="24" t="str">
        <x:v>À assembler</x:v>
      </x:c>
      <x:c r="I91" s="24" t="str">
        <x:v>Référence</x:v>
      </x:c>
      <x:c r="J91" s="24" t="str">
        <x:v>Manquant</x:v>
      </x:c>
      <x:c r="K91" s="24" t="str">
        <x:v>Manquant</x:v>
      </x:c>
      <x:c r="L91" s="24" t="str">
        <x:v>Manquant</x:v>
      </x:c>
      <x:c r="M91" s="24" t="str">
        <x:v>Manquant</x:v>
      </x:c>
      <x:c r="N91" s="24" t="str">
        <x:v>Manquant</x:v>
      </x:c>
      <x:c r="O91" s="24" t="str">
        <x:v>Manquant</x:v>
      </x:c>
      <x:c r="P91" s="24" t="str">
        <x:v>Manquant</x:v>
      </x:c>
      <x:c r="Q91" s="24" t="str">
        <x:v>Commun</x:v>
      </x:c>
      <x:c r="R91" s="24" t="str">
        <x:v>Commun</x:v>
      </x:c>
      <x:c r="S91" s="24" t="str">
        <x:v>Commun</x:v>
      </x:c>
      <x:c r="T91" s="24" t="str">
        <x:v>Commun</x:v>
      </x:c>
      <x:c r="U91" s="24" t="str">
        <x:v>Commun</x:v>
      </x:c>
      <x:c r="V91" s="24" t="str">
        <x:v>Commun</x:v>
      </x:c>
      <x:c r="W91" s="24" t="str">
        <x:v>Non consignée</x:v>
      </x:c>
      <x:c r="X91" s="24" t="str">
        <x:v>Non consignée</x:v>
      </x:c>
      <x:c r="Y91" s="24" t="str">
        <x:v>Non consignée</x:v>
      </x:c>
      <x:c r="Z91" s="24" t="str">
        <x:v>Périmée (0/6)</x:v>
      </x:c>
      <x:c r="AA91" s="23" t="str">
        <x:v>Compléter le pack ; consigner QA, accord et publication.</x:v>
      </x:c>
      <x:c r="AB91" s="21" t="str">
        <x:v>1a63ecf787bc8d20e322314e1ba17987c83b1198</x:v>
      </x:c>
      <x:c r="AC91" s="21" t="str">
        <x:v>À intégrer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À planifier</x:v>
      </x:c>
      <x:c r="E92" s="25" t="str">
        <x:v>Lieux</x:v>
      </x:c>
      <x:c r="F92" s="24" t="str">
        <x:f>IF(AND(G92=8,COUNTIF(Q92:V92,"Atlas")=6),"Intégré","À faire")</x:f>
        <x:v>À faire</x:v>
      </x:c>
      <x:c r="G92" s="27" t="n">
        <x:f>COUNTIF(I92:P92,"Présent")</x:f>
        <x:v>0</x:v>
      </x:c>
      <x:c r="H92" s="24" t="str">
        <x:v>À assembler</x:v>
      </x:c>
      <x:c r="I92" s="24" t="str">
        <x:v>Référence</x:v>
      </x:c>
      <x:c r="J92" s="24" t="str">
        <x:v>Manquant</x:v>
      </x:c>
      <x:c r="K92" s="24" t="str">
        <x:v>Manquant</x:v>
      </x:c>
      <x:c r="L92" s="24" t="str">
        <x:v>Manquant</x:v>
      </x:c>
      <x:c r="M92" s="24" t="str">
        <x:v>Manquant</x:v>
      </x:c>
      <x:c r="N92" s="24" t="str">
        <x:v>Manquant</x:v>
      </x:c>
      <x:c r="O92" s="24" t="str">
        <x:v>Manquant</x:v>
      </x:c>
      <x:c r="P92" s="24" t="str">
        <x:v>Manquant</x:v>
      </x:c>
      <x:c r="Q92" s="24" t="str">
        <x:v>Commun</x:v>
      </x:c>
      <x:c r="R92" s="24" t="str">
        <x:v>Commun</x:v>
      </x:c>
      <x:c r="S92" s="24" t="str">
        <x:v>Commun</x:v>
      </x:c>
      <x:c r="T92" s="24" t="str">
        <x:v>Commun</x:v>
      </x:c>
      <x:c r="U92" s="24" t="str">
        <x:v>Commun</x:v>
      </x:c>
      <x:c r="V92" s="24" t="str">
        <x:v>Commun</x:v>
      </x:c>
      <x:c r="W92" s="24" t="str">
        <x:v>Non consignée</x:v>
      </x:c>
      <x:c r="X92" s="24" t="str">
        <x:v>Non consignée</x:v>
      </x:c>
      <x:c r="Y92" s="24" t="str">
        <x:v>Non consignée</x:v>
      </x:c>
      <x:c r="Z92" s="24" t="str">
        <x:v>Périmée (0/6)</x:v>
      </x:c>
      <x:c r="AA92" s="23" t="str">
        <x:v>Compléter le pack ; consigner QA, accord et publication.</x:v>
      </x:c>
      <x:c r="AB92" s="21" t="str">
        <x:v>1a63ecf787bc8d20e322314e1ba17987c83b1198</x:v>
      </x:c>
      <x:c r="AC92" s="21" t="str">
        <x:v>À intégrer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À planifier</x:v>
      </x:c>
      <x:c r="E93" s="25" t="str">
        <x:v>Animaux</x:v>
      </x:c>
      <x:c r="F93" s="24" t="str">
        <x:f>IF(AND(G93=8,COUNTIF(Q93:V93,"Atlas")=6),"Intégré","À faire")</x:f>
        <x:v>À faire</x:v>
      </x:c>
      <x:c r="G93" s="27" t="n">
        <x:f>COUNTIF(I93:P93,"Présent")</x:f>
        <x:v>0</x:v>
      </x:c>
      <x:c r="H93" s="24" t="str">
        <x:v>À assembler</x:v>
      </x:c>
      <x:c r="I93" s="24" t="str">
        <x:v>Référence</x:v>
      </x:c>
      <x:c r="J93" s="24" t="str">
        <x:v>Manquant</x:v>
      </x:c>
      <x:c r="K93" s="24" t="str">
        <x:v>Manquant</x:v>
      </x:c>
      <x:c r="L93" s="24" t="str">
        <x:v>Manquant</x:v>
      </x:c>
      <x:c r="M93" s="24" t="str">
        <x:v>Manquant</x:v>
      </x:c>
      <x:c r="N93" s="24" t="str">
        <x:v>Manquant</x:v>
      </x:c>
      <x:c r="O93" s="24" t="str">
        <x:v>Manquant</x:v>
      </x:c>
      <x:c r="P93" s="24" t="str">
        <x:v>Manquant</x:v>
      </x:c>
      <x:c r="Q93" s="24" t="str">
        <x:v>Commun</x:v>
      </x:c>
      <x:c r="R93" s="24" t="str">
        <x:v>Commun</x:v>
      </x:c>
      <x:c r="S93" s="24" t="str">
        <x:v>Commun</x:v>
      </x:c>
      <x:c r="T93" s="24" t="str">
        <x:v>Commun</x:v>
      </x:c>
      <x:c r="U93" s="24" t="str">
        <x:v>Commun</x:v>
      </x:c>
      <x:c r="V93" s="24" t="str">
        <x:v>Commun</x:v>
      </x:c>
      <x:c r="W93" s="24" t="str">
        <x:v>Non consignée</x:v>
      </x:c>
      <x:c r="X93" s="24" t="str">
        <x:v>Non consignée</x:v>
      </x:c>
      <x:c r="Y93" s="24" t="str">
        <x:v>Non consignée</x:v>
      </x:c>
      <x:c r="Z93" s="24" t="str">
        <x:v>Périmée (0/6)</x:v>
      </x:c>
      <x:c r="AA93" s="23" t="str">
        <x:v>Compléter le pack ; consigner QA, accord et publication.</x:v>
      </x:c>
      <x:c r="AB93" s="21" t="str">
        <x:v>1a63ecf787bc8d20e322314e1ba17987c83b1198</x:v>
      </x:c>
      <x:c r="AC93" s="21" t="str">
        <x:v>À intégrer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À planifier</x:v>
      </x:c>
      <x:c r="E94" s="25" t="str">
        <x:v>Personnes</x:v>
      </x:c>
      <x:c r="F94" s="24" t="str">
        <x:f>IF(AND(G94=8,COUNTIF(Q94:V94,"Atlas")=6),"Intégré","À faire")</x:f>
        <x:v>À faire</x:v>
      </x:c>
      <x:c r="G94" s="27" t="n">
        <x:f>COUNTIF(I94:P94,"Présent")</x:f>
        <x:v>0</x:v>
      </x:c>
      <x:c r="H94" s="24" t="str">
        <x:v>À assembler</x:v>
      </x:c>
      <x:c r="I94" s="24" t="str">
        <x:v>Référence</x:v>
      </x:c>
      <x:c r="J94" s="24" t="str">
        <x:v>Manquant</x:v>
      </x:c>
      <x:c r="K94" s="24" t="str">
        <x:v>Manquant</x:v>
      </x:c>
      <x:c r="L94" s="24" t="str">
        <x:v>Manquant</x:v>
      </x:c>
      <x:c r="M94" s="24" t="str">
        <x:v>Manquant</x:v>
      </x:c>
      <x:c r="N94" s="24" t="str">
        <x:v>Manquant</x:v>
      </x:c>
      <x:c r="O94" s="24" t="str">
        <x:v>Manquant</x:v>
      </x:c>
      <x:c r="P94" s="24" t="str">
        <x:v>Manquant</x:v>
      </x:c>
      <x:c r="Q94" s="24" t="str">
        <x:v>Commun</x:v>
      </x:c>
      <x:c r="R94" s="24" t="str">
        <x:v>Commun</x:v>
      </x:c>
      <x:c r="S94" s="24" t="str">
        <x:v>Commun</x:v>
      </x:c>
      <x:c r="T94" s="24" t="str">
        <x:v>Commun</x:v>
      </x:c>
      <x:c r="U94" s="24" t="str">
        <x:v>Commun</x:v>
      </x:c>
      <x:c r="V94" s="24" t="str">
        <x:v>Commun</x:v>
      </x:c>
      <x:c r="W94" s="24" t="str">
        <x:v>Non consignée</x:v>
      </x:c>
      <x:c r="X94" s="24" t="str">
        <x:v>Non consignée</x:v>
      </x:c>
      <x:c r="Y94" s="24" t="str">
        <x:v>Non consignée</x:v>
      </x:c>
      <x:c r="Z94" s="24" t="str">
        <x:v>Périmée (0/6)</x:v>
      </x:c>
      <x:c r="AA94" s="23" t="str">
        <x:v>Compléter le pack ; consigner QA, accord et publication.</x:v>
      </x:c>
      <x:c r="AB94" s="21" t="str">
        <x:v>1a63ecf787bc8d20e322314e1ba17987c83b1198</x:v>
      </x:c>
      <x:c r="AC94" s="21" t="str">
        <x:v>À intégrer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À planifier</x:v>
      </x:c>
      <x:c r="E95" s="25" t="str">
        <x:v>Ciel</x:v>
      </x:c>
      <x:c r="F95" s="24" t="str">
        <x:f>IF(AND(G95=8,COUNTIF(Q95:V95,"Atlas")=6),"Intégré","À faire")</x:f>
        <x:v>À faire</x:v>
      </x:c>
      <x:c r="G95" s="27" t="n">
        <x:f>COUNTIF(I95:P95,"Présent")</x:f>
        <x:v>0</x:v>
      </x:c>
      <x:c r="H95" s="24" t="str">
        <x:v>À assembler</x:v>
      </x:c>
      <x:c r="I95" s="24" t="str">
        <x:v>Référence</x:v>
      </x:c>
      <x:c r="J95" s="24" t="str">
        <x:v>Manquant</x:v>
      </x:c>
      <x:c r="K95" s="24" t="str">
        <x:v>Manquant</x:v>
      </x:c>
      <x:c r="L95" s="24" t="str">
        <x:v>Manquant</x:v>
      </x:c>
      <x:c r="M95" s="24" t="str">
        <x:v>Manquant</x:v>
      </x:c>
      <x:c r="N95" s="24" t="str">
        <x:v>Manquant</x:v>
      </x:c>
      <x:c r="O95" s="24" t="str">
        <x:v>Manquant</x:v>
      </x:c>
      <x:c r="P95" s="24" t="str">
        <x:v>Manquant</x:v>
      </x:c>
      <x:c r="Q95" s="24" t="str">
        <x:v>Commun</x:v>
      </x:c>
      <x:c r="R95" s="24" t="str">
        <x:v>Commun</x:v>
      </x:c>
      <x:c r="S95" s="24" t="str">
        <x:v>Commun</x:v>
      </x:c>
      <x:c r="T95" s="24" t="str">
        <x:v>Commun</x:v>
      </x:c>
      <x:c r="U95" s="24" t="str">
        <x:v>Commun</x:v>
      </x:c>
      <x:c r="V95" s="24" t="str">
        <x:v>Commun</x:v>
      </x:c>
      <x:c r="W95" s="24" t="str">
        <x:v>Non consignée</x:v>
      </x:c>
      <x:c r="X95" s="24" t="str">
        <x:v>Non consignée</x:v>
      </x:c>
      <x:c r="Y95" s="24" t="str">
        <x:v>Non consignée</x:v>
      </x:c>
      <x:c r="Z95" s="24" t="str">
        <x:v>Périmée (0/6)</x:v>
      </x:c>
      <x:c r="AA95" s="23" t="str">
        <x:v>Compléter le pack ; consigner QA, accord et publication.</x:v>
      </x:c>
      <x:c r="AB95" s="21" t="str">
        <x:v>1a63ecf787bc8d20e322314e1ba17987c83b1198</x:v>
      </x:c>
      <x:c r="AC95" s="21" t="str">
        <x:v>À intégrer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À planifier</x:v>
      </x:c>
      <x:c r="E96" s="25" t="str">
        <x:v>Nature</x:v>
      </x:c>
      <x:c r="F96" s="24" t="str">
        <x:f>IF(AND(G96=8,COUNTIF(Q96:V96,"Atlas")=6),"Intégré","À faire")</x:f>
        <x:v>À faire</x:v>
      </x:c>
      <x:c r="G96" s="27" t="n">
        <x:f>COUNTIF(I96:P96,"Présent")</x:f>
        <x:v>0</x:v>
      </x:c>
      <x:c r="H96" s="24" t="str">
        <x:v>À assembler</x:v>
      </x:c>
      <x:c r="I96" s="24" t="str">
        <x:v>Référence</x:v>
      </x:c>
      <x:c r="J96" s="24" t="str">
        <x:v>Manquant</x:v>
      </x:c>
      <x:c r="K96" s="24" t="str">
        <x:v>Manquant</x:v>
      </x:c>
      <x:c r="L96" s="24" t="str">
        <x:v>Manquant</x:v>
      </x:c>
      <x:c r="M96" s="24" t="str">
        <x:v>Manquant</x:v>
      </x:c>
      <x:c r="N96" s="24" t="str">
        <x:v>Manquant</x:v>
      </x:c>
      <x:c r="O96" s="24" t="str">
        <x:v>Manquant</x:v>
      </x:c>
      <x:c r="P96" s="24" t="str">
        <x:v>Manquant</x:v>
      </x:c>
      <x:c r="Q96" s="24" t="str">
        <x:v>Commun</x:v>
      </x:c>
      <x:c r="R96" s="24" t="str">
        <x:v>Commun</x:v>
      </x:c>
      <x:c r="S96" s="24" t="str">
        <x:v>Commun</x:v>
      </x:c>
      <x:c r="T96" s="24" t="str">
        <x:v>Commun</x:v>
      </x:c>
      <x:c r="U96" s="24" t="str">
        <x:v>Commun</x:v>
      </x:c>
      <x:c r="V96" s="24" t="str">
        <x:v>Commun</x:v>
      </x:c>
      <x:c r="W96" s="24" t="str">
        <x:v>Non consignée</x:v>
      </x:c>
      <x:c r="X96" s="24" t="str">
        <x:v>Non consignée</x:v>
      </x:c>
      <x:c r="Y96" s="24" t="str">
        <x:v>Non consignée</x:v>
      </x:c>
      <x:c r="Z96" s="24" t="str">
        <x:v>Périmée (0/6)</x:v>
      </x:c>
      <x:c r="AA96" s="23" t="str">
        <x:v>Compléter le pack ; consigner QA, accord et publication.</x:v>
      </x:c>
      <x:c r="AB96" s="21" t="str">
        <x:v>1a63ecf787bc8d20e322314e1ba17987c83b1198</x:v>
      </x:c>
      <x:c r="AC96" s="21" t="str">
        <x:v>À intégrer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Lot 08</x:v>
      </x:c>
      <x:c r="E97" s="25" t="str">
        <x:v>Animaux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Archivé Drive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Périmée (0/6)</x:v>
      </x:c>
      <x:c r="AA97" s="23" t="str">
        <x:v>Accord et publication du lot non consignés.</x:v>
      </x:c>
      <x:c r="AB97" s="21" t="str">
        <x:v>9184f780a23f21687350020fa3448d58e4e0aadd</x:v>
      </x:c>
      <x:c r="AC97" s="21" t="str">
        <x:v>En cours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Lot 08</x:v>
      </x:c>
      <x:c r="E98" s="25" t="str">
        <x:v>Nature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Archivé Drive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Périmée (0/6)</x:v>
      </x:c>
      <x:c r="AA98" s="23" t="str">
        <x:v>Accord et publication du lot non consignés.</x:v>
      </x:c>
      <x:c r="AB98" s="21" t="str">
        <x:v>9184f780a23f21687350020fa3448d58e4e0aadd</x:v>
      </x:c>
      <x:c r="AC98" s="21" t="str">
        <x:v>En cours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Lot 08</x:v>
      </x:c>
      <x:c r="E99" s="25" t="str">
        <x:v>Ciel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Archivé Drive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Périmée (0/6)</x:v>
      </x:c>
      <x:c r="AA99" s="23" t="str">
        <x:v>Accord et publication du lot non consignés.</x:v>
      </x:c>
      <x:c r="AB99" s="21" t="str">
        <x:v>9184f780a23f21687350020fa3448d58e4e0aadd</x:v>
      </x:c>
      <x:c r="AC99" s="21" t="str">
        <x:v>En cours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Lot 08</x:v>
      </x:c>
      <x:c r="E100" s="25" t="str">
        <x:v>Objets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Archivé Drive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Périmée (0/6)</x:v>
      </x:c>
      <x:c r="AA100" s="23" t="str">
        <x:v>Accord et publication du lot non consignés.</x:v>
      </x:c>
      <x:c r="AB100" s="21" t="str">
        <x:v>9184f780a23f21687350020fa3448d58e4e0aadd</x:v>
      </x:c>
      <x:c r="AC100" s="21" t="str">
        <x:v>En cours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À planifier</x:v>
      </x:c>
      <x:c r="E101" s="25" t="str">
        <x:v>Objets</x:v>
      </x:c>
      <x:c r="F101" s="24" t="str">
        <x:f>IF(AND(G101=8,COUNTIF(Q101:V101,"Atlas")=6),"Intégré","À faire")</x:f>
        <x:v>À faire</x:v>
      </x:c>
      <x:c r="G101" s="27" t="n">
        <x:f>COUNTIF(I101:P101,"Présent")</x:f>
        <x:v>0</x:v>
      </x:c>
      <x:c r="H101" s="24" t="str">
        <x:v>À assembler</x:v>
      </x:c>
      <x:c r="I101" s="24" t="str">
        <x:v>Référence</x:v>
      </x:c>
      <x:c r="J101" s="24" t="str">
        <x:v>Manquant</x:v>
      </x:c>
      <x:c r="K101" s="24" t="str">
        <x:v>Manquant</x:v>
      </x:c>
      <x:c r="L101" s="24" t="str">
        <x:v>Manquant</x:v>
      </x:c>
      <x:c r="M101" s="24" t="str">
        <x:v>Manquant</x:v>
      </x:c>
      <x:c r="N101" s="24" t="str">
        <x:v>Manquant</x:v>
      </x:c>
      <x:c r="O101" s="24" t="str">
        <x:v>Manquant</x:v>
      </x:c>
      <x:c r="P101" s="24" t="str">
        <x:v>Manquant</x:v>
      </x:c>
      <x:c r="Q101" s="24" t="str">
        <x:v>Commun</x:v>
      </x:c>
      <x:c r="R101" s="24" t="str">
        <x:v>Commun</x:v>
      </x:c>
      <x:c r="S101" s="24" t="str">
        <x:v>Commun</x:v>
      </x:c>
      <x:c r="T101" s="24" t="str">
        <x:v>Commun</x:v>
      </x:c>
      <x:c r="U101" s="24" t="str">
        <x:v>Commun</x:v>
      </x:c>
      <x:c r="V101" s="24" t="str">
        <x:v>Commun</x:v>
      </x:c>
      <x:c r="W101" s="24" t="str">
        <x:v>Non consignée</x:v>
      </x:c>
      <x:c r="X101" s="24" t="str">
        <x:v>Non consignée</x:v>
      </x:c>
      <x:c r="Y101" s="24" t="str">
        <x:v>Non consignée</x:v>
      </x:c>
      <x:c r="Z101" s="24" t="str">
        <x:v>Périmée (0/6)</x:v>
      </x:c>
      <x:c r="AA101" s="23" t="str">
        <x:v>Compléter le pack ; consigner QA, accord et publication.</x:v>
      </x:c>
      <x:c r="AB101" s="21" t="str">
        <x:v>1a63ecf787bc8d20e322314e1ba17987c83b1198</x:v>
      </x:c>
      <x:c r="AC101" s="21" t="str">
        <x:v>À intégrer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Lot 08</x:v>
      </x:c>
      <x:c r="E102" s="25" t="str">
        <x:v>Objets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Archivé Drive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Périmée (0/6)</x:v>
      </x:c>
      <x:c r="AA102" s="23" t="str">
        <x:v>Accord et publication du lot non consignés.</x:v>
      </x:c>
      <x:c r="AB102" s="21" t="str">
        <x:v>9184f780a23f21687350020fa3448d58e4e0aadd</x:v>
      </x:c>
      <x:c r="AC102" s="21" t="str">
        <x:v>En cours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À planifier</x:v>
      </x:c>
      <x:c r="E103" s="25" t="str">
        <x:v>Objets</x:v>
      </x:c>
      <x:c r="F103" s="24" t="str">
        <x:f>IF(AND(G103=8,COUNTIF(Q103:V103,"Atlas")=6),"Intégré","À faire")</x:f>
        <x:v>À faire</x:v>
      </x:c>
      <x:c r="G103" s="27" t="n">
        <x:f>COUNTIF(I103:P103,"Présent")</x:f>
        <x:v>0</x:v>
      </x:c>
      <x:c r="H103" s="24" t="str">
        <x:v>À assembler</x:v>
      </x:c>
      <x:c r="I103" s="24" t="str">
        <x:v>Référence</x:v>
      </x:c>
      <x:c r="J103" s="24" t="str">
        <x:v>Manquant</x:v>
      </x:c>
      <x:c r="K103" s="24" t="str">
        <x:v>Manquant</x:v>
      </x:c>
      <x:c r="L103" s="24" t="str">
        <x:v>Manquant</x:v>
      </x:c>
      <x:c r="M103" s="24" t="str">
        <x:v>Manquant</x:v>
      </x:c>
      <x:c r="N103" s="24" t="str">
        <x:v>Manquant</x:v>
      </x:c>
      <x:c r="O103" s="24" t="str">
        <x:v>Manquant</x:v>
      </x:c>
      <x:c r="P103" s="24" t="str">
        <x:v>Manquant</x:v>
      </x:c>
      <x:c r="Q103" s="24" t="str">
        <x:v>Commun</x:v>
      </x:c>
      <x:c r="R103" s="24" t="str">
        <x:v>Commun</x:v>
      </x:c>
      <x:c r="S103" s="24" t="str">
        <x:v>Commun</x:v>
      </x:c>
      <x:c r="T103" s="24" t="str">
        <x:v>Commun</x:v>
      </x:c>
      <x:c r="U103" s="24" t="str">
        <x:v>Commun</x:v>
      </x:c>
      <x:c r="V103" s="24" t="str">
        <x:v>Commun</x:v>
      </x:c>
      <x:c r="W103" s="24" t="str">
        <x:v>Non consignée</x:v>
      </x:c>
      <x:c r="X103" s="24" t="str">
        <x:v>Non consignée</x:v>
      </x:c>
      <x:c r="Y103" s="24" t="str">
        <x:v>Non consignée</x:v>
      </x:c>
      <x:c r="Z103" s="24" t="str">
        <x:v>Périmée (0/6)</x:v>
      </x:c>
      <x:c r="AA103" s="23" t="str">
        <x:v>Compléter le pack ; consigner QA, accord et publication.</x:v>
      </x:c>
      <x:c r="AB103" s="21" t="str">
        <x:v>1a63ecf787bc8d20e322314e1ba17987c83b1198</x:v>
      </x:c>
      <x:c r="AC103" s="21" t="str">
        <x:v>À intégrer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À planifier</x:v>
      </x:c>
      <x:c r="E104" s="25" t="str">
        <x:v>Animaux</x:v>
      </x:c>
      <x:c r="F104" s="24" t="str">
        <x:f>IF(AND(G104=8,COUNTIF(Q104:V104,"Atlas")=6),"Intégré","À faire")</x:f>
        <x:v>À faire</x:v>
      </x:c>
      <x:c r="G104" s="27" t="n">
        <x:f>COUNTIF(I104:P104,"Présent")</x:f>
        <x:v>0</x:v>
      </x:c>
      <x:c r="H104" s="24" t="str">
        <x:v>À assembler</x:v>
      </x:c>
      <x:c r="I104" s="24" t="str">
        <x:v>Référence</x:v>
      </x:c>
      <x:c r="J104" s="24" t="str">
        <x:v>Manquant</x:v>
      </x:c>
      <x:c r="K104" s="24" t="str">
        <x:v>Manquant</x:v>
      </x:c>
      <x:c r="L104" s="24" t="str">
        <x:v>Manquant</x:v>
      </x:c>
      <x:c r="M104" s="24" t="str">
        <x:v>Manquant</x:v>
      </x:c>
      <x:c r="N104" s="24" t="str">
        <x:v>Manquant</x:v>
      </x:c>
      <x:c r="O104" s="24" t="str">
        <x:v>Manquant</x:v>
      </x:c>
      <x:c r="P104" s="24" t="str">
        <x:v>Manquant</x:v>
      </x:c>
      <x:c r="Q104" s="24" t="str">
        <x:v>Commun</x:v>
      </x:c>
      <x:c r="R104" s="24" t="str">
        <x:v>Commun</x:v>
      </x:c>
      <x:c r="S104" s="24" t="str">
        <x:v>Commun</x:v>
      </x:c>
      <x:c r="T104" s="24" t="str">
        <x:v>Commun</x:v>
      </x:c>
      <x:c r="U104" s="24" t="str">
        <x:v>Commun</x:v>
      </x:c>
      <x:c r="V104" s="24" t="str">
        <x:v>Commun</x:v>
      </x:c>
      <x:c r="W104" s="24" t="str">
        <x:v>Non consignée</x:v>
      </x:c>
      <x:c r="X104" s="24" t="str">
        <x:v>Non consignée</x:v>
      </x:c>
      <x:c r="Y104" s="24" t="str">
        <x:v>Non consignée</x:v>
      </x:c>
      <x:c r="Z104" s="24" t="str">
        <x:v>Périmée (0/6)</x:v>
      </x:c>
      <x:c r="AA104" s="23" t="str">
        <x:v>Compléter le pack ; consigner QA, accord et publication.</x:v>
      </x:c>
      <x:c r="AB104" s="21" t="str">
        <x:v>1a63ecf787bc8d20e322314e1ba17987c83b1198</x:v>
      </x:c>
      <x:c r="AC104" s="21" t="str">
        <x:v>À intégrer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À planifier</x:v>
      </x:c>
      <x:c r="E105" s="25" t="str">
        <x:v>Objets</x:v>
      </x:c>
      <x:c r="F105" s="24" t="str">
        <x:f>IF(AND(G105=8,COUNTIF(Q105:V105,"Atlas")=6),"Intégré","À faire")</x:f>
        <x:v>À faire</x:v>
      </x:c>
      <x:c r="G105" s="27" t="n">
        <x:f>COUNTIF(I105:P105,"Présent")</x:f>
        <x:v>0</x:v>
      </x:c>
      <x:c r="H105" s="24" t="str">
        <x:v>À assembler</x:v>
      </x:c>
      <x:c r="I105" s="24" t="str">
        <x:v>Référence</x:v>
      </x:c>
      <x:c r="J105" s="24" t="str">
        <x:v>Manquant</x:v>
      </x:c>
      <x:c r="K105" s="24" t="str">
        <x:v>Manquant</x:v>
      </x:c>
      <x:c r="L105" s="24" t="str">
        <x:v>Manquant</x:v>
      </x:c>
      <x:c r="M105" s="24" t="str">
        <x:v>Manquant</x:v>
      </x:c>
      <x:c r="N105" s="24" t="str">
        <x:v>Manquant</x:v>
      </x:c>
      <x:c r="O105" s="24" t="str">
        <x:v>Manquant</x:v>
      </x:c>
      <x:c r="P105" s="24" t="str">
        <x:v>Manquant</x:v>
      </x:c>
      <x:c r="Q105" s="24" t="str">
        <x:v>Commun</x:v>
      </x:c>
      <x:c r="R105" s="24" t="str">
        <x:v>Commun</x:v>
      </x:c>
      <x:c r="S105" s="24" t="str">
        <x:v>Commun</x:v>
      </x:c>
      <x:c r="T105" s="24" t="str">
        <x:v>Commun</x:v>
      </x:c>
      <x:c r="U105" s="24" t="str">
        <x:v>Commun</x:v>
      </x:c>
      <x:c r="V105" s="24" t="str">
        <x:v>Commun</x:v>
      </x:c>
      <x:c r="W105" s="24" t="str">
        <x:v>Non consignée</x:v>
      </x:c>
      <x:c r="X105" s="24" t="str">
        <x:v>Non consignée</x:v>
      </x:c>
      <x:c r="Y105" s="24" t="str">
        <x:v>Non consignée</x:v>
      </x:c>
      <x:c r="Z105" s="24" t="str">
        <x:v>Périmée (0/6)</x:v>
      </x:c>
      <x:c r="AA105" s="23" t="str">
        <x:v>Compléter le pack ; consigner QA, accord et publication.</x:v>
      </x:c>
      <x:c r="AB105" s="21" t="str">
        <x:v>1a63ecf787bc8d20e322314e1ba17987c83b1198</x:v>
      </x:c>
      <x:c r="AC105" s="21" t="str">
        <x:v>À intégrer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Lot 08</x:v>
      </x:c>
      <x:c r="E106" s="25" t="str">
        <x:v>Corps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Archivé Drive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Périmée (0/6)</x:v>
      </x:c>
      <x:c r="AA106" s="23" t="str">
        <x:v>Accord et publication du lot non consignés.</x:v>
      </x:c>
      <x:c r="AB106" s="21" t="str">
        <x:v>9184f780a23f21687350020fa3448d58e4e0aadd</x:v>
      </x:c>
      <x:c r="AC106" s="21" t="str">
        <x:v>En cours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À planifier</x:v>
      </x:c>
      <x:c r="E107" s="25" t="str">
        <x:v>Objets</x:v>
      </x:c>
      <x:c r="F107" s="24" t="str">
        <x:f>IF(AND(G107=8,COUNTIF(Q107:V107,"Atlas")=6),"Intégré","À faire")</x:f>
        <x:v>À faire</x:v>
      </x:c>
      <x:c r="G107" s="27" t="n">
        <x:f>COUNTIF(I107:P107,"Présent")</x:f>
        <x:v>0</x:v>
      </x:c>
      <x:c r="H107" s="24" t="str">
        <x:v>À assembler</x:v>
      </x:c>
      <x:c r="I107" s="24" t="str">
        <x:v>Référence</x:v>
      </x:c>
      <x:c r="J107" s="24" t="str">
        <x:v>Manquant</x:v>
      </x:c>
      <x:c r="K107" s="24" t="str">
        <x:v>Manquant</x:v>
      </x:c>
      <x:c r="L107" s="24" t="str">
        <x:v>Manquant</x:v>
      </x:c>
      <x:c r="M107" s="24" t="str">
        <x:v>Manquant</x:v>
      </x:c>
      <x:c r="N107" s="24" t="str">
        <x:v>Manquant</x:v>
      </x:c>
      <x:c r="O107" s="24" t="str">
        <x:v>Manquant</x:v>
      </x:c>
      <x:c r="P107" s="24" t="str">
        <x:v>Manquant</x:v>
      </x:c>
      <x:c r="Q107" s="24" t="str">
        <x:v>Commun</x:v>
      </x:c>
      <x:c r="R107" s="24" t="str">
        <x:v>Commun</x:v>
      </x:c>
      <x:c r="S107" s="24" t="str">
        <x:v>Commun</x:v>
      </x:c>
      <x:c r="T107" s="24" t="str">
        <x:v>Commun</x:v>
      </x:c>
      <x:c r="U107" s="24" t="str">
        <x:v>Commun</x:v>
      </x:c>
      <x:c r="V107" s="24" t="str">
        <x:v>Commun</x:v>
      </x:c>
      <x:c r="W107" s="24" t="str">
        <x:v>Non consignée</x:v>
      </x:c>
      <x:c r="X107" s="24" t="str">
        <x:v>Non consignée</x:v>
      </x:c>
      <x:c r="Y107" s="24" t="str">
        <x:v>Non consignée</x:v>
      </x:c>
      <x:c r="Z107" s="24" t="str">
        <x:v>Périmée (0/6)</x:v>
      </x:c>
      <x:c r="AA107" s="23" t="str">
        <x:v>Compléter le pack ; consigner QA, accord et publication.</x:v>
      </x:c>
      <x:c r="AB107" s="21" t="str">
        <x:v>1a63ecf787bc8d20e322314e1ba17987c83b1198</x:v>
      </x:c>
      <x:c r="AC107" s="21" t="str">
        <x:v>À intégrer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À planifier</x:v>
      </x:c>
      <x:c r="E108" s="25" t="str">
        <x:v>Corps</x:v>
      </x:c>
      <x:c r="F108" s="24" t="str">
        <x:f>IF(AND(G108=8,COUNTIF(Q108:V108,"Atlas")=6),"Intégré","À faire")</x:f>
        <x:v>À faire</x:v>
      </x:c>
      <x:c r="G108" s="27" t="n">
        <x:f>COUNTIF(I108:P108,"Présent")</x:f>
        <x:v>0</x:v>
      </x:c>
      <x:c r="H108" s="24" t="str">
        <x:v>À assembler</x:v>
      </x:c>
      <x:c r="I108" s="24" t="str">
        <x:v>Référence</x:v>
      </x:c>
      <x:c r="J108" s="24" t="str">
        <x:v>Manquant</x:v>
      </x:c>
      <x:c r="K108" s="24" t="str">
        <x:v>Manquant</x:v>
      </x:c>
      <x:c r="L108" s="24" t="str">
        <x:v>Manquant</x:v>
      </x:c>
      <x:c r="M108" s="24" t="str">
        <x:v>Manquant</x:v>
      </x:c>
      <x:c r="N108" s="24" t="str">
        <x:v>Manquant</x:v>
      </x:c>
      <x:c r="O108" s="24" t="str">
        <x:v>Manquant</x:v>
      </x:c>
      <x:c r="P108" s="24" t="str">
        <x:v>Manquant</x:v>
      </x:c>
      <x:c r="Q108" s="24" t="str">
        <x:v>Commun</x:v>
      </x:c>
      <x:c r="R108" s="24" t="str">
        <x:v>Commun</x:v>
      </x:c>
      <x:c r="S108" s="24" t="str">
        <x:v>Commun</x:v>
      </x:c>
      <x:c r="T108" s="24" t="str">
        <x:v>Commun</x:v>
      </x:c>
      <x:c r="U108" s="24" t="str">
        <x:v>Commun</x:v>
      </x:c>
      <x:c r="V108" s="24" t="str">
        <x:v>Commun</x:v>
      </x:c>
      <x:c r="W108" s="24" t="str">
        <x:v>Non consignée</x:v>
      </x:c>
      <x:c r="X108" s="24" t="str">
        <x:v>Non consignée</x:v>
      </x:c>
      <x:c r="Y108" s="24" t="str">
        <x:v>Non consignée</x:v>
      </x:c>
      <x:c r="Z108" s="24" t="str">
        <x:v>Périmée (0/6)</x:v>
      </x:c>
      <x:c r="AA108" s="23" t="str">
        <x:v>Compléter le pack ; consigner QA, accord et publication.</x:v>
      </x:c>
      <x:c r="AB108" s="21" t="str">
        <x:v>1a63ecf787bc8d20e322314e1ba17987c83b1198</x:v>
      </x:c>
      <x:c r="AC108" s="21" t="str">
        <x:v>À intégrer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À planifier</x:v>
      </x:c>
      <x:c r="E109" s="25" t="str">
        <x:v>Animaux</x:v>
      </x:c>
      <x:c r="F109" s="24" t="str">
        <x:f>IF(AND(G109=8,COUNTIF(Q109:V109,"Atlas")=6),"Intégré","À faire")</x:f>
        <x:v>À faire</x:v>
      </x:c>
      <x:c r="G109" s="27" t="n">
        <x:f>COUNTIF(I109:P109,"Présent")</x:f>
        <x:v>0</x:v>
      </x:c>
      <x:c r="H109" s="24" t="str">
        <x:v>À assembler</x:v>
      </x:c>
      <x:c r="I109" s="24" t="str">
        <x:v>Référence</x:v>
      </x:c>
      <x:c r="J109" s="24" t="str">
        <x:v>Manquant</x:v>
      </x:c>
      <x:c r="K109" s="24" t="str">
        <x:v>Manquant</x:v>
      </x:c>
      <x:c r="L109" s="24" t="str">
        <x:v>Manquant</x:v>
      </x:c>
      <x:c r="M109" s="24" t="str">
        <x:v>Manquant</x:v>
      </x:c>
      <x:c r="N109" s="24" t="str">
        <x:v>Manquant</x:v>
      </x:c>
      <x:c r="O109" s="24" t="str">
        <x:v>Manquant</x:v>
      </x:c>
      <x:c r="P109" s="24" t="str">
        <x:v>Manquant</x:v>
      </x:c>
      <x:c r="Q109" s="24" t="str">
        <x:v>Commun</x:v>
      </x:c>
      <x:c r="R109" s="24" t="str">
        <x:v>Commun</x:v>
      </x:c>
      <x:c r="S109" s="24" t="str">
        <x:v>Commun</x:v>
      </x:c>
      <x:c r="T109" s="24" t="str">
        <x:v>Commun</x:v>
      </x:c>
      <x:c r="U109" s="24" t="str">
        <x:v>Commun</x:v>
      </x:c>
      <x:c r="V109" s="24" t="str">
        <x:v>Commun</x:v>
      </x:c>
      <x:c r="W109" s="24" t="str">
        <x:v>Non consignée</x:v>
      </x:c>
      <x:c r="X109" s="24" t="str">
        <x:v>Non consignée</x:v>
      </x:c>
      <x:c r="Y109" s="24" t="str">
        <x:v>Non consignée</x:v>
      </x:c>
      <x:c r="Z109" s="24" t="str">
        <x:v>Périmée (0/6)</x:v>
      </x:c>
      <x:c r="AA109" s="23" t="str">
        <x:v>Compléter le pack ; consigner QA, accord et publication.</x:v>
      </x:c>
      <x:c r="AB109" s="21" t="str">
        <x:v>1a63ecf787bc8d20e322314e1ba17987c83b1198</x:v>
      </x:c>
      <x:c r="AC109" s="21" t="str">
        <x:v>À intégrer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À planifier</x:v>
      </x:c>
      <x:c r="E110" s="25" t="str">
        <x:v>Nature</x:v>
      </x:c>
      <x:c r="F110" s="24" t="str">
        <x:f>IF(AND(G110=8,COUNTIF(Q110:V110,"Atlas")=6),"Intégré","À faire")</x:f>
        <x:v>À faire</x:v>
      </x:c>
      <x:c r="G110" s="27" t="n">
        <x:f>COUNTIF(I110:P110,"Présent")</x:f>
        <x:v>0</x:v>
      </x:c>
      <x:c r="H110" s="24" t="str">
        <x:v>À assembler</x:v>
      </x:c>
      <x:c r="I110" s="24" t="str">
        <x:v>Référence</x:v>
      </x:c>
      <x:c r="J110" s="24" t="str">
        <x:v>Manquant</x:v>
      </x:c>
      <x:c r="K110" s="24" t="str">
        <x:v>Manquant</x:v>
      </x:c>
      <x:c r="L110" s="24" t="str">
        <x:v>Manquant</x:v>
      </x:c>
      <x:c r="M110" s="24" t="str">
        <x:v>Manquant</x:v>
      </x:c>
      <x:c r="N110" s="24" t="str">
        <x:v>Manquant</x:v>
      </x:c>
      <x:c r="O110" s="24" t="str">
        <x:v>Manquant</x:v>
      </x:c>
      <x:c r="P110" s="24" t="str">
        <x:v>Manquant</x:v>
      </x:c>
      <x:c r="Q110" s="24" t="str">
        <x:v>Commun</x:v>
      </x:c>
      <x:c r="R110" s="24" t="str">
        <x:v>Commun</x:v>
      </x:c>
      <x:c r="S110" s="24" t="str">
        <x:v>Commun</x:v>
      </x:c>
      <x:c r="T110" s="24" t="str">
        <x:v>Commun</x:v>
      </x:c>
      <x:c r="U110" s="24" t="str">
        <x:v>Commun</x:v>
      </x:c>
      <x:c r="V110" s="24" t="str">
        <x:v>Commun</x:v>
      </x:c>
      <x:c r="W110" s="24" t="str">
        <x:v>Non consignée</x:v>
      </x:c>
      <x:c r="X110" s="24" t="str">
        <x:v>Non consignée</x:v>
      </x:c>
      <x:c r="Y110" s="24" t="str">
        <x:v>Non consignée</x:v>
      </x:c>
      <x:c r="Z110" s="24" t="str">
        <x:v>Périmée (0/6)</x:v>
      </x:c>
      <x:c r="AA110" s="23" t="str">
        <x:v>Compléter le pack ; consigner QA, accord et publication.</x:v>
      </x:c>
      <x:c r="AB110" s="21" t="str">
        <x:v>1a63ecf787bc8d20e322314e1ba17987c83b1198</x:v>
      </x:c>
      <x:c r="AC110" s="21" t="str">
        <x:v>À intégrer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À planifier</x:v>
      </x:c>
      <x:c r="E111" s="25" t="str">
        <x:v>Personnes</x:v>
      </x:c>
      <x:c r="F111" s="24" t="str">
        <x:f>IF(AND(G111=8,COUNTIF(Q111:V111,"Atlas")=6),"Intégré","À faire")</x:f>
        <x:v>À faire</x:v>
      </x:c>
      <x:c r="G111" s="27" t="n">
        <x:f>COUNTIF(I111:P111,"Présent")</x:f>
        <x:v>0</x:v>
      </x:c>
      <x:c r="H111" s="24" t="str">
        <x:v>À assembler</x:v>
      </x:c>
      <x:c r="I111" s="24" t="str">
        <x:v>Référence</x:v>
      </x:c>
      <x:c r="J111" s="24" t="str">
        <x:v>Manquant</x:v>
      </x:c>
      <x:c r="K111" s="24" t="str">
        <x:v>Manquant</x:v>
      </x:c>
      <x:c r="L111" s="24" t="str">
        <x:v>Manquant</x:v>
      </x:c>
      <x:c r="M111" s="24" t="str">
        <x:v>Manquant</x:v>
      </x:c>
      <x:c r="N111" s="24" t="str">
        <x:v>Manquant</x:v>
      </x:c>
      <x:c r="O111" s="24" t="str">
        <x:v>Manquant</x:v>
      </x:c>
      <x:c r="P111" s="24" t="str">
        <x:v>Manquant</x:v>
      </x:c>
      <x:c r="Q111" s="24" t="str">
        <x:v>Commun</x:v>
      </x:c>
      <x:c r="R111" s="24" t="str">
        <x:v>Commun</x:v>
      </x:c>
      <x:c r="S111" s="24" t="str">
        <x:v>Commun</x:v>
      </x:c>
      <x:c r="T111" s="24" t="str">
        <x:v>Commun</x:v>
      </x:c>
      <x:c r="U111" s="24" t="str">
        <x:v>Commun</x:v>
      </x:c>
      <x:c r="V111" s="24" t="str">
        <x:v>Commun</x:v>
      </x:c>
      <x:c r="W111" s="24" t="str">
        <x:v>Non consignée</x:v>
      </x:c>
      <x:c r="X111" s="24" t="str">
        <x:v>Non consignée</x:v>
      </x:c>
      <x:c r="Y111" s="24" t="str">
        <x:v>Non consignée</x:v>
      </x:c>
      <x:c r="Z111" s="24" t="str">
        <x:v>Périmée (0/6)</x:v>
      </x:c>
      <x:c r="AA111" s="23" t="str">
        <x:v>Compléter le pack ; consigner QA, accord et publication.</x:v>
      </x:c>
      <x:c r="AB111" s="21" t="str">
        <x:v>1a63ecf787bc8d20e322314e1ba17987c83b1198</x:v>
      </x:c>
      <x:c r="AC111" s="21" t="str">
        <x:v>À intégrer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À planifier</x:v>
      </x:c>
      <x:c r="E112" s="25" t="str">
        <x:v>Lieux</x:v>
      </x:c>
      <x:c r="F112" s="24" t="str">
        <x:f>IF(AND(G112=8,COUNTIF(Q112:V112,"Atlas")=6),"Intégré","À faire")</x:f>
        <x:v>À faire</x:v>
      </x:c>
      <x:c r="G112" s="27" t="n">
        <x:f>COUNTIF(I112:P112,"Présent")</x:f>
        <x:v>0</x:v>
      </x:c>
      <x:c r="H112" s="24" t="str">
        <x:v>À assembler</x:v>
      </x:c>
      <x:c r="I112" s="24" t="str">
        <x:v>Référence</x:v>
      </x:c>
      <x:c r="J112" s="24" t="str">
        <x:v>Manquant</x:v>
      </x:c>
      <x:c r="K112" s="24" t="str">
        <x:v>Manquant</x:v>
      </x:c>
      <x:c r="L112" s="24" t="str">
        <x:v>Manquant</x:v>
      </x:c>
      <x:c r="M112" s="24" t="str">
        <x:v>Manquant</x:v>
      </x:c>
      <x:c r="N112" s="24" t="str">
        <x:v>Manquant</x:v>
      </x:c>
      <x:c r="O112" s="24" t="str">
        <x:v>Manquant</x:v>
      </x:c>
      <x:c r="P112" s="24" t="str">
        <x:v>Manquant</x:v>
      </x:c>
      <x:c r="Q112" s="24" t="str">
        <x:v>Commun</x:v>
      </x:c>
      <x:c r="R112" s="24" t="str">
        <x:v>Commun</x:v>
      </x:c>
      <x:c r="S112" s="24" t="str">
        <x:v>Commun</x:v>
      </x:c>
      <x:c r="T112" s="24" t="str">
        <x:v>Commun</x:v>
      </x:c>
      <x:c r="U112" s="24" t="str">
        <x:v>Commun</x:v>
      </x:c>
      <x:c r="V112" s="24" t="str">
        <x:v>Commun</x:v>
      </x:c>
      <x:c r="W112" s="24" t="str">
        <x:v>Non consignée</x:v>
      </x:c>
      <x:c r="X112" s="24" t="str">
        <x:v>Non consignée</x:v>
      </x:c>
      <x:c r="Y112" s="24" t="str">
        <x:v>Non consignée</x:v>
      </x:c>
      <x:c r="Z112" s="24" t="str">
        <x:v>Périmée (0/6)</x:v>
      </x:c>
      <x:c r="AA112" s="23" t="str">
        <x:v>Compléter le pack ; consigner QA, accord et publication.</x:v>
      </x:c>
      <x:c r="AB112" s="21" t="str">
        <x:v>1a63ecf787bc8d20e322314e1ba17987c83b1198</x:v>
      </x:c>
      <x:c r="AC112" s="21" t="str">
        <x:v>À intégrer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À planifier</x:v>
      </x:c>
      <x:c r="E113" s="25" t="str">
        <x:v>Objets</x:v>
      </x:c>
      <x:c r="F113" s="24" t="str">
        <x:f>IF(AND(G113=8,COUNTIF(Q113:V113,"Atlas")=6),"Intégré","À faire")</x:f>
        <x:v>À faire</x:v>
      </x:c>
      <x:c r="G113" s="27" t="n">
        <x:f>COUNTIF(I113:P113,"Présent")</x:f>
        <x:v>0</x:v>
      </x:c>
      <x:c r="H113" s="24" t="str">
        <x:v>À assembler</x:v>
      </x:c>
      <x:c r="I113" s="24" t="str">
        <x:v>Référence</x:v>
      </x:c>
      <x:c r="J113" s="24" t="str">
        <x:v>Manquant</x:v>
      </x:c>
      <x:c r="K113" s="24" t="str">
        <x:v>Manquant</x:v>
      </x:c>
      <x:c r="L113" s="24" t="str">
        <x:v>Manquant</x:v>
      </x:c>
      <x:c r="M113" s="24" t="str">
        <x:v>Manquant</x:v>
      </x:c>
      <x:c r="N113" s="24" t="str">
        <x:v>Manquant</x:v>
      </x:c>
      <x:c r="O113" s="24" t="str">
        <x:v>Manquant</x:v>
      </x:c>
      <x:c r="P113" s="24" t="str">
        <x:v>Manquant</x:v>
      </x:c>
      <x:c r="Q113" s="24" t="str">
        <x:v>Commun</x:v>
      </x:c>
      <x:c r="R113" s="24" t="str">
        <x:v>Commun</x:v>
      </x:c>
      <x:c r="S113" s="24" t="str">
        <x:v>Commun</x:v>
      </x:c>
      <x:c r="T113" s="24" t="str">
        <x:v>Commun</x:v>
      </x:c>
      <x:c r="U113" s="24" t="str">
        <x:v>Commun</x:v>
      </x:c>
      <x:c r="V113" s="24" t="str">
        <x:v>Commun</x:v>
      </x:c>
      <x:c r="W113" s="24" t="str">
        <x:v>Non consignée</x:v>
      </x:c>
      <x:c r="X113" s="24" t="str">
        <x:v>Non consignée</x:v>
      </x:c>
      <x:c r="Y113" s="24" t="str">
        <x:v>Non consignée</x:v>
      </x:c>
      <x:c r="Z113" s="24" t="str">
        <x:v>Périmée (0/6)</x:v>
      </x:c>
      <x:c r="AA113" s="23" t="str">
        <x:v>Compléter le pack ; consigner QA, accord et publication.</x:v>
      </x:c>
      <x:c r="AB113" s="21" t="str">
        <x:v>1a63ecf787bc8d20e322314e1ba17987c83b1198</x:v>
      </x:c>
      <x:c r="AC113" s="21" t="str">
        <x:v>À intégrer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À planifier</x:v>
      </x:c>
      <x:c r="E114" s="25" t="str">
        <x:v>Animaux</x:v>
      </x:c>
      <x:c r="F114" s="24" t="str">
        <x:f>IF(AND(G114=8,COUNTIF(Q114:V114,"Atlas")=6),"Intégré","À faire")</x:f>
        <x:v>À faire</x:v>
      </x:c>
      <x:c r="G114" s="27" t="n">
        <x:f>COUNTIF(I114:P114,"Présent")</x:f>
        <x:v>0</x:v>
      </x:c>
      <x:c r="H114" s="24" t="str">
        <x:v>À assembler</x:v>
      </x:c>
      <x:c r="I114" s="24" t="str">
        <x:v>Référence</x:v>
      </x:c>
      <x:c r="J114" s="24" t="str">
        <x:v>Manquant</x:v>
      </x:c>
      <x:c r="K114" s="24" t="str">
        <x:v>Manquant</x:v>
      </x:c>
      <x:c r="L114" s="24" t="str">
        <x:v>Manquant</x:v>
      </x:c>
      <x:c r="M114" s="24" t="str">
        <x:v>Manquant</x:v>
      </x:c>
      <x:c r="N114" s="24" t="str">
        <x:v>Manquant</x:v>
      </x:c>
      <x:c r="O114" s="24" t="str">
        <x:v>Manquant</x:v>
      </x:c>
      <x:c r="P114" s="24" t="str">
        <x:v>Manquant</x:v>
      </x:c>
      <x:c r="Q114" s="24" t="str">
        <x:v>Commun</x:v>
      </x:c>
      <x:c r="R114" s="24" t="str">
        <x:v>Commun</x:v>
      </x:c>
      <x:c r="S114" s="24" t="str">
        <x:v>Commun</x:v>
      </x:c>
      <x:c r="T114" s="24" t="str">
        <x:v>Commun</x:v>
      </x:c>
      <x:c r="U114" s="24" t="str">
        <x:v>Commun</x:v>
      </x:c>
      <x:c r="V114" s="24" t="str">
        <x:v>Commun</x:v>
      </x:c>
      <x:c r="W114" s="24" t="str">
        <x:v>Non consignée</x:v>
      </x:c>
      <x:c r="X114" s="24" t="str">
        <x:v>Non consignée</x:v>
      </x:c>
      <x:c r="Y114" s="24" t="str">
        <x:v>Non consignée</x:v>
      </x:c>
      <x:c r="Z114" s="24" t="str">
        <x:v>Périmée (0/6)</x:v>
      </x:c>
      <x:c r="AA114" s="23" t="str">
        <x:v>Compléter le pack ; consigner QA, accord et publication.</x:v>
      </x:c>
      <x:c r="AB114" s="21" t="str">
        <x:v>1a63ecf787bc8d20e322314e1ba17987c83b1198</x:v>
      </x:c>
      <x:c r="AC114" s="21" t="str">
        <x:v>À intégrer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À planifier</x:v>
      </x:c>
      <x:c r="E115" s="25" t="str">
        <x:v>Lieux</x:v>
      </x:c>
      <x:c r="F115" s="24" t="str">
        <x:f>IF(AND(G115=8,COUNTIF(Q115:V115,"Atlas")=6),"Intégré","À faire")</x:f>
        <x:v>À faire</x:v>
      </x:c>
      <x:c r="G115" s="27" t="n">
        <x:f>COUNTIF(I115:P115,"Présent")</x:f>
        <x:v>0</x:v>
      </x:c>
      <x:c r="H115" s="24" t="str">
        <x:v>À assembler</x:v>
      </x:c>
      <x:c r="I115" s="24" t="str">
        <x:v>Référence</x:v>
      </x:c>
      <x:c r="J115" s="24" t="str">
        <x:v>Manquant</x:v>
      </x:c>
      <x:c r="K115" s="24" t="str">
        <x:v>Manquant</x:v>
      </x:c>
      <x:c r="L115" s="24" t="str">
        <x:v>Manquant</x:v>
      </x:c>
      <x:c r="M115" s="24" t="str">
        <x:v>Manquant</x:v>
      </x:c>
      <x:c r="N115" s="24" t="str">
        <x:v>Manquant</x:v>
      </x:c>
      <x:c r="O115" s="24" t="str">
        <x:v>Manquant</x:v>
      </x:c>
      <x:c r="P115" s="24" t="str">
        <x:v>Manquant</x:v>
      </x:c>
      <x:c r="Q115" s="24" t="str">
        <x:v>Commun</x:v>
      </x:c>
      <x:c r="R115" s="24" t="str">
        <x:v>Commun</x:v>
      </x:c>
      <x:c r="S115" s="24" t="str">
        <x:v>Commun</x:v>
      </x:c>
      <x:c r="T115" s="24" t="str">
        <x:v>Commun</x:v>
      </x:c>
      <x:c r="U115" s="24" t="str">
        <x:v>Commun</x:v>
      </x:c>
      <x:c r="V115" s="24" t="str">
        <x:v>Commun</x:v>
      </x:c>
      <x:c r="W115" s="24" t="str">
        <x:v>Non consignée</x:v>
      </x:c>
      <x:c r="X115" s="24" t="str">
        <x:v>Non consignée</x:v>
      </x:c>
      <x:c r="Y115" s="24" t="str">
        <x:v>Non consignée</x:v>
      </x:c>
      <x:c r="Z115" s="24" t="str">
        <x:v>Périmée (0/6)</x:v>
      </x:c>
      <x:c r="AA115" s="23" t="str">
        <x:v>Compléter le pack ; consigner QA, accord et publication.</x:v>
      </x:c>
      <x:c r="AB115" s="21" t="str">
        <x:v>1a63ecf787bc8d20e322314e1ba17987c83b1198</x:v>
      </x:c>
      <x:c r="AC115" s="21" t="str">
        <x:v>À intégrer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À planifier</x:v>
      </x:c>
      <x:c r="E116" s="25" t="str">
        <x:v>Objets</x:v>
      </x:c>
      <x:c r="F116" s="24" t="str">
        <x:f>IF(AND(G116=8,COUNTIF(Q116:V116,"Atlas")=6),"Intégré","À faire")</x:f>
        <x:v>À faire</x:v>
      </x:c>
      <x:c r="G116" s="27" t="n">
        <x:f>COUNTIF(I116:P116,"Présent")</x:f>
        <x:v>0</x:v>
      </x:c>
      <x:c r="H116" s="24" t="str">
        <x:v>À assembler</x:v>
      </x:c>
      <x:c r="I116" s="24" t="str">
        <x:v>Référence</x:v>
      </x:c>
      <x:c r="J116" s="24" t="str">
        <x:v>Manquant</x:v>
      </x:c>
      <x:c r="K116" s="24" t="str">
        <x:v>Manquant</x:v>
      </x:c>
      <x:c r="L116" s="24" t="str">
        <x:v>Manquant</x:v>
      </x:c>
      <x:c r="M116" s="24" t="str">
        <x:v>Manquant</x:v>
      </x:c>
      <x:c r="N116" s="24" t="str">
        <x:v>Manquant</x:v>
      </x:c>
      <x:c r="O116" s="24" t="str">
        <x:v>Manquant</x:v>
      </x:c>
      <x:c r="P116" s="24" t="str">
        <x:v>Manquant</x:v>
      </x:c>
      <x:c r="Q116" s="24" t="str">
        <x:v>Commun</x:v>
      </x:c>
      <x:c r="R116" s="24" t="str">
        <x:v>Commun</x:v>
      </x:c>
      <x:c r="S116" s="24" t="str">
        <x:v>Commun</x:v>
      </x:c>
      <x:c r="T116" s="24" t="str">
        <x:v>Commun</x:v>
      </x:c>
      <x:c r="U116" s="24" t="str">
        <x:v>Commun</x:v>
      </x:c>
      <x:c r="V116" s="24" t="str">
        <x:v>Commun</x:v>
      </x:c>
      <x:c r="W116" s="24" t="str">
        <x:v>Non consignée</x:v>
      </x:c>
      <x:c r="X116" s="24" t="str">
        <x:v>Non consignée</x:v>
      </x:c>
      <x:c r="Y116" s="24" t="str">
        <x:v>Non consignée</x:v>
      </x:c>
      <x:c r="Z116" s="24" t="str">
        <x:v>Périmée (0/6)</x:v>
      </x:c>
      <x:c r="AA116" s="23" t="str">
        <x:v>Compléter le pack ; consigner QA, accord et publication.</x:v>
      </x:c>
      <x:c r="AB116" s="21" t="str">
        <x:v>1a63ecf787bc8d20e322314e1ba17987c83b1198</x:v>
      </x:c>
      <x:c r="AC116" s="21" t="str">
        <x:v>À intégrer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À planifier</x:v>
      </x:c>
      <x:c r="E117" s="25" t="str">
        <x:v>Animaux</x:v>
      </x:c>
      <x:c r="F117" s="24" t="str">
        <x:f>IF(AND(G117=8,COUNTIF(Q117:V117,"Atlas")=6),"Intégré","À faire")</x:f>
        <x:v>À faire</x:v>
      </x:c>
      <x:c r="G117" s="27" t="n">
        <x:f>COUNTIF(I117:P117,"Présent")</x:f>
        <x:v>0</x:v>
      </x:c>
      <x:c r="H117" s="24" t="str">
        <x:v>À assembler</x:v>
      </x:c>
      <x:c r="I117" s="24" t="str">
        <x:v>Référence</x:v>
      </x:c>
      <x:c r="J117" s="24" t="str">
        <x:v>Manquant</x:v>
      </x:c>
      <x:c r="K117" s="24" t="str">
        <x:v>Manquant</x:v>
      </x:c>
      <x:c r="L117" s="24" t="str">
        <x:v>Manquant</x:v>
      </x:c>
      <x:c r="M117" s="24" t="str">
        <x:v>Manquant</x:v>
      </x:c>
      <x:c r="N117" s="24" t="str">
        <x:v>Manquant</x:v>
      </x:c>
      <x:c r="O117" s="24" t="str">
        <x:v>Manquant</x:v>
      </x:c>
      <x:c r="P117" s="24" t="str">
        <x:v>Manquant</x:v>
      </x:c>
      <x:c r="Q117" s="24" t="str">
        <x:v>Commun</x:v>
      </x:c>
      <x:c r="R117" s="24" t="str">
        <x:v>Commun</x:v>
      </x:c>
      <x:c r="S117" s="24" t="str">
        <x:v>Commun</x:v>
      </x:c>
      <x:c r="T117" s="24" t="str">
        <x:v>Commun</x:v>
      </x:c>
      <x:c r="U117" s="24" t="str">
        <x:v>Commun</x:v>
      </x:c>
      <x:c r="V117" s="24" t="str">
        <x:v>Commun</x:v>
      </x:c>
      <x:c r="W117" s="24" t="str">
        <x:v>Non consignée</x:v>
      </x:c>
      <x:c r="X117" s="24" t="str">
        <x:v>Non consignée</x:v>
      </x:c>
      <x:c r="Y117" s="24" t="str">
        <x:v>Non consignée</x:v>
      </x:c>
      <x:c r="Z117" s="24" t="str">
        <x:v>Périmée (0/6)</x:v>
      </x:c>
      <x:c r="AA117" s="23" t="str">
        <x:v>Compléter le pack ; consigner QA, accord et publication.</x:v>
      </x:c>
      <x:c r="AB117" s="21" t="str">
        <x:v>1a63ecf787bc8d20e322314e1ba17987c83b1198</x:v>
      </x:c>
      <x:c r="AC117" s="21" t="str">
        <x:v>À intégrer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Lot 08</x:v>
      </x:c>
      <x:c r="E118" s="25" t="str">
        <x:v>Lieux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Archivé Drive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Périmée (0/6)</x:v>
      </x:c>
      <x:c r="AA118" s="23" t="str">
        <x:v>Accord et publication du lot non consignés.</x:v>
      </x:c>
      <x:c r="AB118" s="21" t="str">
        <x:v>9184f780a23f21687350020fa3448d58e4e0aadd</x:v>
      </x:c>
      <x:c r="AC118" s="21" t="str">
        <x:v>En cours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À planifier</x:v>
      </x:c>
      <x:c r="E119" s="25" t="str">
        <x:v>Corps</x:v>
      </x:c>
      <x:c r="F119" s="24" t="str">
        <x:f>IF(AND(G119=8,COUNTIF(Q119:V119,"Atlas")=6),"Intégré","À faire")</x:f>
        <x:v>À faire</x:v>
      </x:c>
      <x:c r="G119" s="27" t="n">
        <x:f>COUNTIF(I119:P119,"Présent")</x:f>
        <x:v>0</x:v>
      </x:c>
      <x:c r="H119" s="24" t="str">
        <x:v>À assembler</x:v>
      </x:c>
      <x:c r="I119" s="24" t="str">
        <x:v>Référence</x:v>
      </x:c>
      <x:c r="J119" s="24" t="str">
        <x:v>Manquant</x:v>
      </x:c>
      <x:c r="K119" s="24" t="str">
        <x:v>Manquant</x:v>
      </x:c>
      <x:c r="L119" s="24" t="str">
        <x:v>Manquant</x:v>
      </x:c>
      <x:c r="M119" s="24" t="str">
        <x:v>Manquant</x:v>
      </x:c>
      <x:c r="N119" s="24" t="str">
        <x:v>Manquant</x:v>
      </x:c>
      <x:c r="O119" s="24" t="str">
        <x:v>Manquant</x:v>
      </x:c>
      <x:c r="P119" s="24" t="str">
        <x:v>Manquant</x:v>
      </x:c>
      <x:c r="Q119" s="24" t="str">
        <x:v>Commun</x:v>
      </x:c>
      <x:c r="R119" s="24" t="str">
        <x:v>Commun</x:v>
      </x:c>
      <x:c r="S119" s="24" t="str">
        <x:v>Commun</x:v>
      </x:c>
      <x:c r="T119" s="24" t="str">
        <x:v>Commun</x:v>
      </x:c>
      <x:c r="U119" s="24" t="str">
        <x:v>Commun</x:v>
      </x:c>
      <x:c r="V119" s="24" t="str">
        <x:v>Commun</x:v>
      </x:c>
      <x:c r="W119" s="24" t="str">
        <x:v>Non consignée</x:v>
      </x:c>
      <x:c r="X119" s="24" t="str">
        <x:v>Non consignée</x:v>
      </x:c>
      <x:c r="Y119" s="24" t="str">
        <x:v>Non consignée</x:v>
      </x:c>
      <x:c r="Z119" s="24" t="str">
        <x:v>Périmée (0/6)</x:v>
      </x:c>
      <x:c r="AA119" s="23" t="str">
        <x:v>Compléter le pack ; consigner QA, accord et publication.</x:v>
      </x:c>
      <x:c r="AB119" s="21" t="str">
        <x:v>1a63ecf787bc8d20e322314e1ba17987c83b1198</x:v>
      </x:c>
      <x:c r="AC119" s="21" t="str">
        <x:v>À intégrer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À planifier</x:v>
      </x:c>
      <x:c r="E120" s="25" t="str">
        <x:v>Actions</x:v>
      </x:c>
      <x:c r="F120" s="24" t="str">
        <x:f>IF(AND(G120=8,COUNTIF(Q120:V120,"Atlas")=6),"Intégré","À faire")</x:f>
        <x:v>À faire</x:v>
      </x:c>
      <x:c r="G120" s="27" t="n">
        <x:f>COUNTIF(I120:P120,"Présent")</x:f>
        <x:v>0</x:v>
      </x:c>
      <x:c r="H120" s="24" t="str">
        <x:v>À assembler</x:v>
      </x:c>
      <x:c r="I120" s="24" t="str">
        <x:v>Référence</x:v>
      </x:c>
      <x:c r="J120" s="24" t="str">
        <x:v>Manquant</x:v>
      </x:c>
      <x:c r="K120" s="24" t="str">
        <x:v>Manquant</x:v>
      </x:c>
      <x:c r="L120" s="24" t="str">
        <x:v>Manquant</x:v>
      </x:c>
      <x:c r="M120" s="24" t="str">
        <x:v>Manquant</x:v>
      </x:c>
      <x:c r="N120" s="24" t="str">
        <x:v>Manquant</x:v>
      </x:c>
      <x:c r="O120" s="24" t="str">
        <x:v>Manquant</x:v>
      </x:c>
      <x:c r="P120" s="24" t="str">
        <x:v>Manquant</x:v>
      </x:c>
      <x:c r="Q120" s="24" t="str">
        <x:v>Commun</x:v>
      </x:c>
      <x:c r="R120" s="24" t="str">
        <x:v>Commun</x:v>
      </x:c>
      <x:c r="S120" s="24" t="str">
        <x:v>Commun</x:v>
      </x:c>
      <x:c r="T120" s="24" t="str">
        <x:v>Commun</x:v>
      </x:c>
      <x:c r="U120" s="24" t="str">
        <x:v>Commun</x:v>
      </x:c>
      <x:c r="V120" s="24" t="str">
        <x:v>Commun</x:v>
      </x:c>
      <x:c r="W120" s="24" t="str">
        <x:v>Non consignée</x:v>
      </x:c>
      <x:c r="X120" s="24" t="str">
        <x:v>Non consignée</x:v>
      </x:c>
      <x:c r="Y120" s="24" t="str">
        <x:v>Non consignée</x:v>
      </x:c>
      <x:c r="Z120" s="24" t="str">
        <x:v>Périmée (0/6)</x:v>
      </x:c>
      <x:c r="AA120" s="23" t="str">
        <x:v>Compléter le pack ; consigner QA, accord et publication.</x:v>
      </x:c>
      <x:c r="AB120" s="21" t="str">
        <x:v>1a63ecf787bc8d20e322314e1ba17987c83b1198</x:v>
      </x:c>
      <x:c r="AC120" s="21" t="str">
        <x:v>À intégrer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À planifier</x:v>
      </x:c>
      <x:c r="E121" s="25" t="str">
        <x:v>Ciel</x:v>
      </x:c>
      <x:c r="F121" s="24" t="str">
        <x:f>IF(AND(G121=8,COUNTIF(Q121:V121,"Atlas")=6),"Intégré","À faire")</x:f>
        <x:v>À faire</x:v>
      </x:c>
      <x:c r="G121" s="27" t="n">
        <x:f>COUNTIF(I121:P121,"Présent")</x:f>
        <x:v>0</x:v>
      </x:c>
      <x:c r="H121" s="24" t="str">
        <x:v>À assembler</x:v>
      </x:c>
      <x:c r="I121" s="24" t="str">
        <x:v>Référence</x:v>
      </x:c>
      <x:c r="J121" s="24" t="str">
        <x:v>Manquant</x:v>
      </x:c>
      <x:c r="K121" s="24" t="str">
        <x:v>Manquant</x:v>
      </x:c>
      <x:c r="L121" s="24" t="str">
        <x:v>Manquant</x:v>
      </x:c>
      <x:c r="M121" s="24" t="str">
        <x:v>Manquant</x:v>
      </x:c>
      <x:c r="N121" s="24" t="str">
        <x:v>Manquant</x:v>
      </x:c>
      <x:c r="O121" s="24" t="str">
        <x:v>Manquant</x:v>
      </x:c>
      <x:c r="P121" s="24" t="str">
        <x:v>Manquant</x:v>
      </x:c>
      <x:c r="Q121" s="24" t="str">
        <x:v>Commun</x:v>
      </x:c>
      <x:c r="R121" s="24" t="str">
        <x:v>Commun</x:v>
      </x:c>
      <x:c r="S121" s="24" t="str">
        <x:v>Commun</x:v>
      </x:c>
      <x:c r="T121" s="24" t="str">
        <x:v>Commun</x:v>
      </x:c>
      <x:c r="U121" s="24" t="str">
        <x:v>Commun</x:v>
      </x:c>
      <x:c r="V121" s="24" t="str">
        <x:v>Commun</x:v>
      </x:c>
      <x:c r="W121" s="24" t="str">
        <x:v>Non consignée</x:v>
      </x:c>
      <x:c r="X121" s="24" t="str">
        <x:v>Non consignée</x:v>
      </x:c>
      <x:c r="Y121" s="24" t="str">
        <x:v>Non consignée</x:v>
      </x:c>
      <x:c r="Z121" s="24" t="str">
        <x:v>Périmée (0/6)</x:v>
      </x:c>
      <x:c r="AA121" s="23" t="str">
        <x:v>Compléter le pack ; consigner QA, accord et publication.</x:v>
      </x:c>
      <x:c r="AB121" s="21" t="str">
        <x:v>1a63ecf787bc8d20e322314e1ba17987c83b1198</x:v>
      </x:c>
      <x:c r="AC121" s="21" t="str">
        <x:v>À intégrer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À planifier</x:v>
      </x:c>
      <x:c r="E122" s="25" t="str">
        <x:v>Lieux</x:v>
      </x:c>
      <x:c r="F122" s="24" t="str">
        <x:f>IF(AND(G122=8,COUNTIF(Q122:V122,"Atlas")=6),"Intégré","À faire")</x:f>
        <x:v>À faire</x:v>
      </x:c>
      <x:c r="G122" s="27" t="n">
        <x:f>COUNTIF(I122:P122,"Présent")</x:f>
        <x:v>0</x:v>
      </x:c>
      <x:c r="H122" s="24" t="str">
        <x:v>À assembler</x:v>
      </x:c>
      <x:c r="I122" s="24" t="str">
        <x:v>Référence</x:v>
      </x:c>
      <x:c r="J122" s="24" t="str">
        <x:v>Manquant</x:v>
      </x:c>
      <x:c r="K122" s="24" t="str">
        <x:v>Manquant</x:v>
      </x:c>
      <x:c r="L122" s="24" t="str">
        <x:v>Manquant</x:v>
      </x:c>
      <x:c r="M122" s="24" t="str">
        <x:v>Manquant</x:v>
      </x:c>
      <x:c r="N122" s="24" t="str">
        <x:v>Manquant</x:v>
      </x:c>
      <x:c r="O122" s="24" t="str">
        <x:v>Manquant</x:v>
      </x:c>
      <x:c r="P122" s="24" t="str">
        <x:v>Manquant</x:v>
      </x:c>
      <x:c r="Q122" s="24" t="str">
        <x:v>Commun</x:v>
      </x:c>
      <x:c r="R122" s="24" t="str">
        <x:v>Commun</x:v>
      </x:c>
      <x:c r="S122" s="24" t="str">
        <x:v>Commun</x:v>
      </x:c>
      <x:c r="T122" s="24" t="str">
        <x:v>Commun</x:v>
      </x:c>
      <x:c r="U122" s="24" t="str">
        <x:v>Commun</x:v>
      </x:c>
      <x:c r="V122" s="24" t="str">
        <x:v>Commun</x:v>
      </x:c>
      <x:c r="W122" s="24" t="str">
        <x:v>Non consignée</x:v>
      </x:c>
      <x:c r="X122" s="24" t="str">
        <x:v>Non consignée</x:v>
      </x:c>
      <x:c r="Y122" s="24" t="str">
        <x:v>Non consignée</x:v>
      </x:c>
      <x:c r="Z122" s="24" t="str">
        <x:v>Périmée (0/6)</x:v>
      </x:c>
      <x:c r="AA122" s="23" t="str">
        <x:v>Compléter le pack ; consigner QA, accord et publication.</x:v>
      </x:c>
      <x:c r="AB122" s="21" t="str">
        <x:v>1a63ecf787bc8d20e322314e1ba17987c83b1198</x:v>
      </x:c>
      <x:c r="AC122" s="21" t="str">
        <x:v>À intégrer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À planifier</x:v>
      </x:c>
      <x:c r="E123" s="25" t="str">
        <x:v>Personnes</x:v>
      </x:c>
      <x:c r="F123" s="24" t="str">
        <x:f>IF(AND(G123=8,COUNTIF(Q123:V123,"Atlas")=6),"Intégré","À faire")</x:f>
        <x:v>À faire</x:v>
      </x:c>
      <x:c r="G123" s="27" t="n">
        <x:f>COUNTIF(I123:P123,"Présent")</x:f>
        <x:v>0</x:v>
      </x:c>
      <x:c r="H123" s="24" t="str">
        <x:v>À assembler</x:v>
      </x:c>
      <x:c r="I123" s="24" t="str">
        <x:v>Référence</x:v>
      </x:c>
      <x:c r="J123" s="24" t="str">
        <x:v>Manquant</x:v>
      </x:c>
      <x:c r="K123" s="24" t="str">
        <x:v>Manquant</x:v>
      </x:c>
      <x:c r="L123" s="24" t="str">
        <x:v>Manquant</x:v>
      </x:c>
      <x:c r="M123" s="24" t="str">
        <x:v>Manquant</x:v>
      </x:c>
      <x:c r="N123" s="24" t="str">
        <x:v>Manquant</x:v>
      </x:c>
      <x:c r="O123" s="24" t="str">
        <x:v>Manquant</x:v>
      </x:c>
      <x:c r="P123" s="24" t="str">
        <x:v>Manquant</x:v>
      </x:c>
      <x:c r="Q123" s="24" t="str">
        <x:v>Commun</x:v>
      </x:c>
      <x:c r="R123" s="24" t="str">
        <x:v>Commun</x:v>
      </x:c>
      <x:c r="S123" s="24" t="str">
        <x:v>Commun</x:v>
      </x:c>
      <x:c r="T123" s="24" t="str">
        <x:v>Commun</x:v>
      </x:c>
      <x:c r="U123" s="24" t="str">
        <x:v>Commun</x:v>
      </x:c>
      <x:c r="V123" s="24" t="str">
        <x:v>Commun</x:v>
      </x:c>
      <x:c r="W123" s="24" t="str">
        <x:v>Non consignée</x:v>
      </x:c>
      <x:c r="X123" s="24" t="str">
        <x:v>Non consignée</x:v>
      </x:c>
      <x:c r="Y123" s="24" t="str">
        <x:v>Non consignée</x:v>
      </x:c>
      <x:c r="Z123" s="24" t="str">
        <x:v>Périmée (0/6)</x:v>
      </x:c>
      <x:c r="AA123" s="23" t="str">
        <x:v>Compléter le pack ; consigner QA, accord et publication.</x:v>
      </x:c>
      <x:c r="AB123" s="21" t="str">
        <x:v>1a63ecf787bc8d20e322314e1ba17987c83b1198</x:v>
      </x:c>
      <x:c r="AC123" s="21" t="str">
        <x:v>À intégrer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À planifier</x:v>
      </x:c>
      <x:c r="E124" s="25" t="str">
        <x:v>Animaux</x:v>
      </x:c>
      <x:c r="F124" s="24" t="str">
        <x:f>IF(AND(G124=8,COUNTIF(Q124:V124,"Atlas")=6),"Intégré","À faire")</x:f>
        <x:v>À faire</x:v>
      </x:c>
      <x:c r="G124" s="27" t="n">
        <x:f>COUNTIF(I124:P124,"Présent")</x:f>
        <x:v>0</x:v>
      </x:c>
      <x:c r="H124" s="24" t="str">
        <x:v>À assembler</x:v>
      </x:c>
      <x:c r="I124" s="24" t="str">
        <x:v>Référence</x:v>
      </x:c>
      <x:c r="J124" s="24" t="str">
        <x:v>Manquant</x:v>
      </x:c>
      <x:c r="K124" s="24" t="str">
        <x:v>Manquant</x:v>
      </x:c>
      <x:c r="L124" s="24" t="str">
        <x:v>Manquant</x:v>
      </x:c>
      <x:c r="M124" s="24" t="str">
        <x:v>Manquant</x:v>
      </x:c>
      <x:c r="N124" s="24" t="str">
        <x:v>Manquant</x:v>
      </x:c>
      <x:c r="O124" s="24" t="str">
        <x:v>Manquant</x:v>
      </x:c>
      <x:c r="P124" s="24" t="str">
        <x:v>Manquant</x:v>
      </x:c>
      <x:c r="Q124" s="24" t="str">
        <x:v>Commun</x:v>
      </x:c>
      <x:c r="R124" s="24" t="str">
        <x:v>Commun</x:v>
      </x:c>
      <x:c r="S124" s="24" t="str">
        <x:v>Commun</x:v>
      </x:c>
      <x:c r="T124" s="24" t="str">
        <x:v>Commun</x:v>
      </x:c>
      <x:c r="U124" s="24" t="str">
        <x:v>Commun</x:v>
      </x:c>
      <x:c r="V124" s="24" t="str">
        <x:v>Commun</x:v>
      </x:c>
      <x:c r="W124" s="24" t="str">
        <x:v>Non consignée</x:v>
      </x:c>
      <x:c r="X124" s="24" t="str">
        <x:v>Non consignée</x:v>
      </x:c>
      <x:c r="Y124" s="24" t="str">
        <x:v>Non consignée</x:v>
      </x:c>
      <x:c r="Z124" s="24" t="str">
        <x:v>Périmée (0/6)</x:v>
      </x:c>
      <x:c r="AA124" s="23" t="str">
        <x:v>Compléter le pack ; consigner QA, accord et publication.</x:v>
      </x:c>
      <x:c r="AB124" s="21" t="str">
        <x:v>1a63ecf787bc8d20e322314e1ba17987c83b1198</x:v>
      </x:c>
      <x:c r="AC124" s="21" t="str">
        <x:v>À intégrer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À planifier</x:v>
      </x:c>
      <x:c r="E125" s="25" t="str">
        <x:v>Corps</x:v>
      </x:c>
      <x:c r="F125" s="24" t="str">
        <x:f>IF(AND(G125=8,COUNTIF(Q125:V125,"Atlas")=6),"Intégré","À faire")</x:f>
        <x:v>À faire</x:v>
      </x:c>
      <x:c r="G125" s="27" t="n">
        <x:f>COUNTIF(I125:P125,"Présent")</x:f>
        <x:v>0</x:v>
      </x:c>
      <x:c r="H125" s="24" t="str">
        <x:v>À assembler</x:v>
      </x:c>
      <x:c r="I125" s="24" t="str">
        <x:v>Référence</x:v>
      </x:c>
      <x:c r="J125" s="24" t="str">
        <x:v>Manquant</x:v>
      </x:c>
      <x:c r="K125" s="24" t="str">
        <x:v>Manquant</x:v>
      </x:c>
      <x:c r="L125" s="24" t="str">
        <x:v>Manquant</x:v>
      </x:c>
      <x:c r="M125" s="24" t="str">
        <x:v>Manquant</x:v>
      </x:c>
      <x:c r="N125" s="24" t="str">
        <x:v>Manquant</x:v>
      </x:c>
      <x:c r="O125" s="24" t="str">
        <x:v>Manquant</x:v>
      </x:c>
      <x:c r="P125" s="24" t="str">
        <x:v>Manquant</x:v>
      </x:c>
      <x:c r="Q125" s="24" t="str">
        <x:v>Commun</x:v>
      </x:c>
      <x:c r="R125" s="24" t="str">
        <x:v>Commun</x:v>
      </x:c>
      <x:c r="S125" s="24" t="str">
        <x:v>Commun</x:v>
      </x:c>
      <x:c r="T125" s="24" t="str">
        <x:v>Commun</x:v>
      </x:c>
      <x:c r="U125" s="24" t="str">
        <x:v>Commun</x:v>
      </x:c>
      <x:c r="V125" s="24" t="str">
        <x:v>Commun</x:v>
      </x:c>
      <x:c r="W125" s="24" t="str">
        <x:v>Non consignée</x:v>
      </x:c>
      <x:c r="X125" s="24" t="str">
        <x:v>Non consignée</x:v>
      </x:c>
      <x:c r="Y125" s="24" t="str">
        <x:v>Non consignée</x:v>
      </x:c>
      <x:c r="Z125" s="24" t="str">
        <x:v>Périmée (0/6)</x:v>
      </x:c>
      <x:c r="AA125" s="23" t="str">
        <x:v>Compléter le pack ; consigner QA, accord et publication.</x:v>
      </x:c>
      <x:c r="AB125" s="21" t="str">
        <x:v>1a63ecf787bc8d20e322314e1ba17987c83b1198</x:v>
      </x:c>
      <x:c r="AC125" s="21" t="str">
        <x:v>À intégrer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À planifier</x:v>
      </x:c>
      <x:c r="E126" s="25" t="str">
        <x:v>Personnes</x:v>
      </x:c>
      <x:c r="F126" s="24" t="str">
        <x:f>IF(AND(G126=8,COUNTIF(Q126:V126,"Atlas")=6),"Intégré","À faire")</x:f>
        <x:v>À faire</x:v>
      </x:c>
      <x:c r="G126" s="27" t="n">
        <x:f>COUNTIF(I126:P126,"Présent")</x:f>
        <x:v>0</x:v>
      </x:c>
      <x:c r="H126" s="24" t="str">
        <x:v>À assembler</x:v>
      </x:c>
      <x:c r="I126" s="24" t="str">
        <x:v>Référence</x:v>
      </x:c>
      <x:c r="J126" s="24" t="str">
        <x:v>Manquant</x:v>
      </x:c>
      <x:c r="K126" s="24" t="str">
        <x:v>Manquant</x:v>
      </x:c>
      <x:c r="L126" s="24" t="str">
        <x:v>Manquant</x:v>
      </x:c>
      <x:c r="M126" s="24" t="str">
        <x:v>Manquant</x:v>
      </x:c>
      <x:c r="N126" s="24" t="str">
        <x:v>Manquant</x:v>
      </x:c>
      <x:c r="O126" s="24" t="str">
        <x:v>Manquant</x:v>
      </x:c>
      <x:c r="P126" s="24" t="str">
        <x:v>Manquant</x:v>
      </x:c>
      <x:c r="Q126" s="24" t="str">
        <x:v>Commun</x:v>
      </x:c>
      <x:c r="R126" s="24" t="str">
        <x:v>Commun</x:v>
      </x:c>
      <x:c r="S126" s="24" t="str">
        <x:v>Commun</x:v>
      </x:c>
      <x:c r="T126" s="24" t="str">
        <x:v>Commun</x:v>
      </x:c>
      <x:c r="U126" s="24" t="str">
        <x:v>Commun</x:v>
      </x:c>
      <x:c r="V126" s="24" t="str">
        <x:v>Commun</x:v>
      </x:c>
      <x:c r="W126" s="24" t="str">
        <x:v>Non consignée</x:v>
      </x:c>
      <x:c r="X126" s="24" t="str">
        <x:v>Non consignée</x:v>
      </x:c>
      <x:c r="Y126" s="24" t="str">
        <x:v>Non consignée</x:v>
      </x:c>
      <x:c r="Z126" s="24" t="str">
        <x:v>Périmée (0/6)</x:v>
      </x:c>
      <x:c r="AA126" s="23" t="str">
        <x:v>Compléter le pack ; consigner QA, accord et publication.</x:v>
      </x:c>
      <x:c r="AB126" s="21" t="str">
        <x:v>1a63ecf787bc8d20e322314e1ba17987c83b1198</x:v>
      </x:c>
      <x:c r="AC126" s="21" t="str">
        <x:v>À intégrer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À planifier</x:v>
      </x:c>
      <x:c r="E127" s="25" t="str">
        <x:v>Animaux</x:v>
      </x:c>
      <x:c r="F127" s="24" t="str">
        <x:f>IF(AND(G127=8,COUNTIF(Q127:V127,"Atlas")=6),"Intégré","À faire")</x:f>
        <x:v>À faire</x:v>
      </x:c>
      <x:c r="G127" s="27" t="n">
        <x:f>COUNTIF(I127:P127,"Présent")</x:f>
        <x:v>0</x:v>
      </x:c>
      <x:c r="H127" s="24" t="str">
        <x:v>À assembler</x:v>
      </x:c>
      <x:c r="I127" s="24" t="str">
        <x:v>Référence</x:v>
      </x:c>
      <x:c r="J127" s="24" t="str">
        <x:v>Manquant</x:v>
      </x:c>
      <x:c r="K127" s="24" t="str">
        <x:v>Manquant</x:v>
      </x:c>
      <x:c r="L127" s="24" t="str">
        <x:v>Manquant</x:v>
      </x:c>
      <x:c r="M127" s="24" t="str">
        <x:v>Manquant</x:v>
      </x:c>
      <x:c r="N127" s="24" t="str">
        <x:v>Manquant</x:v>
      </x:c>
      <x:c r="O127" s="24" t="str">
        <x:v>Manquant</x:v>
      </x:c>
      <x:c r="P127" s="24" t="str">
        <x:v>Manquant</x:v>
      </x:c>
      <x:c r="Q127" s="24" t="str">
        <x:v>Commun</x:v>
      </x:c>
      <x:c r="R127" s="24" t="str">
        <x:v>Commun</x:v>
      </x:c>
      <x:c r="S127" s="24" t="str">
        <x:v>Commun</x:v>
      </x:c>
      <x:c r="T127" s="24" t="str">
        <x:v>Commun</x:v>
      </x:c>
      <x:c r="U127" s="24" t="str">
        <x:v>Commun</x:v>
      </x:c>
      <x:c r="V127" s="24" t="str">
        <x:v>Commun</x:v>
      </x:c>
      <x:c r="W127" s="24" t="str">
        <x:v>Non consignée</x:v>
      </x:c>
      <x:c r="X127" s="24" t="str">
        <x:v>Non consignée</x:v>
      </x:c>
      <x:c r="Y127" s="24" t="str">
        <x:v>Non consignée</x:v>
      </x:c>
      <x:c r="Z127" s="24" t="str">
        <x:v>Périmée (0/6)</x:v>
      </x:c>
      <x:c r="AA127" s="23" t="str">
        <x:v>Compléter le pack ; consigner QA, accord et publication.</x:v>
      </x:c>
      <x:c r="AB127" s="21" t="str">
        <x:v>1a63ecf787bc8d20e322314e1ba17987c83b1198</x:v>
      </x:c>
      <x:c r="AC127" s="21" t="str">
        <x:v>À intégrer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Lot 08</x:v>
      </x:c>
      <x:c r="E128" s="25" t="str">
        <x:v>Actions</x:v>
      </x:c>
      <x:c r="F128" s="24" t="str">
        <x:f>IF(AND(G128=8,COUNTIF(Q128:V128,"Atlas")=6),"Intégré","À faire")</x:f>
        <x:v>Intégré</x:v>
      </x:c>
      <x:c r="G128" s="27" t="n">
        <x:f>COUNTIF(I128:P128,"Présent")</x:f>
        <x:v>8</x:v>
      </x:c>
      <x:c r="H128" s="24" t="str">
        <x:v>Archivé Drive</x:v>
      </x:c>
      <x:c r="I128" s="24" t="str">
        <x:v>Présent</x:v>
      </x:c>
      <x:c r="J128" s="24" t="str">
        <x:v>Présent</x:v>
      </x:c>
      <x:c r="K128" s="24" t="str">
        <x:v>Présent</x:v>
      </x:c>
      <x:c r="L128" s="24" t="str">
        <x:v>Présent</x:v>
      </x:c>
      <x:c r="M128" s="24" t="str">
        <x:v>Présent</x:v>
      </x:c>
      <x:c r="N128" s="24" t="str">
        <x:v>Présent</x:v>
      </x:c>
      <x:c r="O128" s="24" t="str">
        <x:v>Présent</x:v>
      </x:c>
      <x:c r="P128" s="24" t="str">
        <x:v>Présent</x:v>
      </x:c>
      <x:c r="Q128" s="24" t="str">
        <x:v>Atlas</x:v>
      </x:c>
      <x:c r="R128" s="24" t="str">
        <x:v>Atlas</x:v>
      </x:c>
      <x:c r="S128" s="24" t="str">
        <x:v>Atlas</x:v>
      </x:c>
      <x:c r="T128" s="24" t="str">
        <x:v>Atlas</x:v>
      </x:c>
      <x:c r="U128" s="24" t="str">
        <x:v>Atlas</x:v>
      </x:c>
      <x:c r="V128" s="24" t="str">
        <x:v>Atlas</x:v>
      </x:c>
      <x:c r="W128" s="24" t="str">
        <x:v>6/6 actuelles</x:v>
      </x:c>
      <x:c r="X128" s="24" t="str">
        <x:v>6/6 actuelles</x:v>
      </x:c>
      <x:c r="Y128" s="24" t="str">
        <x:v>Non consignée</x:v>
      </x:c>
      <x:c r="Z128" s="24" t="str">
        <x:v>Périmée (0/6)</x:v>
      </x:c>
      <x:c r="AA128" s="23" t="str">
        <x:v>Accord et publication du lot non consignés.</x:v>
      </x:c>
      <x:c r="AB128" s="21" t="str">
        <x:v>9184f780a23f21687350020fa3448d58e4e0aadd</x:v>
      </x:c>
      <x:c r="AC128" s="21" t="str">
        <x:v>En cours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À planifier</x:v>
      </x:c>
      <x:c r="E129" s="25" t="str">
        <x:v>Objets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Périmée (0/6)</x:v>
      </x:c>
      <x:c r="AA129" s="23" t="str">
        <x:v>Compléter le pack ; consigner QA, accord et publication.</x:v>
      </x:c>
      <x:c r="AB129" s="21" t="str">
        <x:v>1a63ecf787bc8d20e322314e1ba17987c83b1198</x:v>
      </x:c>
      <x:c r="AC129" s="21" t="str">
        <x:v>À intégrer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À planifier</x:v>
      </x:c>
      <x:c r="E130" s="25" t="str">
        <x:v>Actions</x:v>
      </x:c>
      <x:c r="F130" s="24" t="str">
        <x:f>IF(AND(G130=8,COUNTIF(Q130:V130,"Atlas")=6),"Intégré","À faire")</x:f>
        <x:v>À faire</x:v>
      </x:c>
      <x:c r="G130" s="27" t="n">
        <x:f>COUNTIF(I130:P130,"Présent")</x:f>
        <x:v>0</x:v>
      </x:c>
      <x:c r="H130" s="24" t="str">
        <x:v>À assembler</x:v>
      </x:c>
      <x:c r="I130" s="24" t="str">
        <x:v>Référence</x:v>
      </x:c>
      <x:c r="J130" s="24" t="str">
        <x:v>Manquant</x:v>
      </x:c>
      <x:c r="K130" s="24" t="str">
        <x:v>Manquant</x:v>
      </x:c>
      <x:c r="L130" s="24" t="str">
        <x:v>Manquant</x:v>
      </x:c>
      <x:c r="M130" s="24" t="str">
        <x:v>Manquant</x:v>
      </x:c>
      <x:c r="N130" s="24" t="str">
        <x:v>Manquant</x:v>
      </x:c>
      <x:c r="O130" s="24" t="str">
        <x:v>Manquant</x:v>
      </x:c>
      <x:c r="P130" s="24" t="str">
        <x:v>Manquant</x:v>
      </x:c>
      <x:c r="Q130" s="24" t="str">
        <x:v>Commun</x:v>
      </x:c>
      <x:c r="R130" s="24" t="str">
        <x:v>Commun</x:v>
      </x:c>
      <x:c r="S130" s="24" t="str">
        <x:v>Commun</x:v>
      </x:c>
      <x:c r="T130" s="24" t="str">
        <x:v>Commun</x:v>
      </x:c>
      <x:c r="U130" s="24" t="str">
        <x:v>Commun</x:v>
      </x:c>
      <x:c r="V130" s="24" t="str">
        <x:v>Commun</x:v>
      </x:c>
      <x:c r="W130" s="24" t="str">
        <x:v>Non consignée</x:v>
      </x:c>
      <x:c r="X130" s="24" t="str">
        <x:v>Non consignée</x:v>
      </x:c>
      <x:c r="Y130" s="24" t="str">
        <x:v>Non consignée</x:v>
      </x:c>
      <x:c r="Z130" s="24" t="str">
        <x:v>Périmée (0/6)</x:v>
      </x:c>
      <x:c r="AA130" s="23" t="str">
        <x:v>Compléter le pack ; consigner QA, accord et publication.</x:v>
      </x:c>
      <x:c r="AB130" s="21" t="str">
        <x:v>1a63ecf787bc8d20e322314e1ba17987c83b1198</x:v>
      </x:c>
      <x:c r="AC130" s="21" t="str">
        <x:v>À intégrer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À planifier</x:v>
      </x:c>
      <x:c r="E131" s="25" t="str">
        <x:v>Animaux</x:v>
      </x:c>
      <x:c r="F131" s="24" t="str">
        <x:f>IF(AND(G131=8,COUNTIF(Q131:V131,"Atlas")=6),"Intégré","À faire")</x:f>
        <x:v>À faire</x:v>
      </x:c>
      <x:c r="G131" s="27" t="n">
        <x:f>COUNTIF(I131:P131,"Présent")</x:f>
        <x:v>0</x:v>
      </x:c>
      <x:c r="H131" s="24" t="str">
        <x:v>À assembler</x:v>
      </x:c>
      <x:c r="I131" s="24" t="str">
        <x:v>Référence</x:v>
      </x:c>
      <x:c r="J131" s="24" t="str">
        <x:v>Manquant</x:v>
      </x:c>
      <x:c r="K131" s="24" t="str">
        <x:v>Manquant</x:v>
      </x:c>
      <x:c r="L131" s="24" t="str">
        <x:v>Manquant</x:v>
      </x:c>
      <x:c r="M131" s="24" t="str">
        <x:v>Manquant</x:v>
      </x:c>
      <x:c r="N131" s="24" t="str">
        <x:v>Manquant</x:v>
      </x:c>
      <x:c r="O131" s="24" t="str">
        <x:v>Manquant</x:v>
      </x:c>
      <x:c r="P131" s="24" t="str">
        <x:v>Manquant</x:v>
      </x:c>
      <x:c r="Q131" s="24" t="str">
        <x:v>Commun</x:v>
      </x:c>
      <x:c r="R131" s="24" t="str">
        <x:v>Commun</x:v>
      </x:c>
      <x:c r="S131" s="24" t="str">
        <x:v>Commun</x:v>
      </x:c>
      <x:c r="T131" s="24" t="str">
        <x:v>Commun</x:v>
      </x:c>
      <x:c r="U131" s="24" t="str">
        <x:v>Commun</x:v>
      </x:c>
      <x:c r="V131" s="24" t="str">
        <x:v>Commun</x:v>
      </x:c>
      <x:c r="W131" s="24" t="str">
        <x:v>Non consignée</x:v>
      </x:c>
      <x:c r="X131" s="24" t="str">
        <x:v>Non consignée</x:v>
      </x:c>
      <x:c r="Y131" s="24" t="str">
        <x:v>Non consignée</x:v>
      </x:c>
      <x:c r="Z131" s="24" t="str">
        <x:v>Périmée (0/6)</x:v>
      </x:c>
      <x:c r="AA131" s="23" t="str">
        <x:v>Compléter le pack ; consigner QA, accord et publication.</x:v>
      </x:c>
      <x:c r="AB131" s="21" t="str">
        <x:v>1a63ecf787bc8d20e322314e1ba17987c83b1198</x:v>
      </x:c>
      <x:c r="AC131" s="21" t="str">
        <x:v>À intégrer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À planifier</x:v>
      </x:c>
      <x:c r="E132" s="25" t="str">
        <x:v>Personnes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Commun</x:v>
      </x:c>
      <x:c r="R132" s="24" t="str">
        <x:v>Commun</x:v>
      </x:c>
      <x:c r="S132" s="24" t="str">
        <x:v>Commun</x:v>
      </x:c>
      <x:c r="T132" s="24" t="str">
        <x:v>Commun</x:v>
      </x:c>
      <x:c r="U132" s="24" t="str">
        <x:v>Commun</x:v>
      </x:c>
      <x:c r="V132" s="24" t="str">
        <x:v>Commun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Périmée (0/6)</x:v>
      </x:c>
      <x:c r="AA132" s="23" t="str">
        <x:v>Compléter le pack ; consigner QA, accord et publication.</x:v>
      </x:c>
      <x:c r="AB132" s="21" t="str">
        <x:v>1a63ecf787bc8d20e322314e1ba17987c83b1198</x:v>
      </x:c>
      <x:c r="AC132" s="21" t="str">
        <x:v>À intégrer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À planifier</x:v>
      </x:c>
      <x:c r="E133" s="25" t="str">
        <x:v>Lieux</x:v>
      </x:c>
      <x:c r="F133" s="24" t="str">
        <x:f>IF(AND(G133=8,COUNTIF(Q133:V133,"Atlas")=6),"Intégré","À faire")</x:f>
        <x:v>À faire</x:v>
      </x:c>
      <x:c r="G133" s="27" t="n">
        <x:f>COUNTIF(I133:P133,"Présent")</x:f>
        <x:v>0</x:v>
      </x:c>
      <x:c r="H133" s="24" t="str">
        <x:v>À assembler</x:v>
      </x:c>
      <x:c r="I133" s="24" t="str">
        <x:v>Référence</x:v>
      </x:c>
      <x:c r="J133" s="24" t="str">
        <x:v>Manquant</x:v>
      </x:c>
      <x:c r="K133" s="24" t="str">
        <x:v>Manquant</x:v>
      </x:c>
      <x:c r="L133" s="24" t="str">
        <x:v>Manquant</x:v>
      </x:c>
      <x:c r="M133" s="24" t="str">
        <x:v>Manquant</x:v>
      </x:c>
      <x:c r="N133" s="24" t="str">
        <x:v>Manquant</x:v>
      </x:c>
      <x:c r="O133" s="24" t="str">
        <x:v>Manquant</x:v>
      </x:c>
      <x:c r="P133" s="24" t="str">
        <x:v>Manquant</x:v>
      </x:c>
      <x:c r="Q133" s="24" t="str">
        <x:v>Commun</x:v>
      </x:c>
      <x:c r="R133" s="24" t="str">
        <x:v>Commun</x:v>
      </x:c>
      <x:c r="S133" s="24" t="str">
        <x:v>Commun</x:v>
      </x:c>
      <x:c r="T133" s="24" t="str">
        <x:v>Commun</x:v>
      </x:c>
      <x:c r="U133" s="24" t="str">
        <x:v>Commun</x:v>
      </x:c>
      <x:c r="V133" s="24" t="str">
        <x:v>Commun</x:v>
      </x:c>
      <x:c r="W133" s="24" t="str">
        <x:v>Non consignée</x:v>
      </x:c>
      <x:c r="X133" s="24" t="str">
        <x:v>Non consignée</x:v>
      </x:c>
      <x:c r="Y133" s="24" t="str">
        <x:v>Non consignée</x:v>
      </x:c>
      <x:c r="Z133" s="24" t="str">
        <x:v>Périmée (0/6)</x:v>
      </x:c>
      <x:c r="AA133" s="23" t="str">
        <x:v>Compléter le pack ; consigner QA, accord et publication.</x:v>
      </x:c>
      <x:c r="AB133" s="21" t="str">
        <x:v>1a63ecf787bc8d20e322314e1ba17987c83b1198</x:v>
      </x:c>
      <x:c r="AC133" s="21" t="str">
        <x:v>À intégrer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À planifier</x:v>
      </x:c>
      <x:c r="E134" s="25" t="str">
        <x:v>Animaux</x:v>
      </x:c>
      <x:c r="F134" s="24" t="str">
        <x:f>IF(AND(G134=8,COUNTIF(Q134:V134,"Atlas")=6),"Intégré","À faire")</x:f>
        <x:v>À faire</x:v>
      </x:c>
      <x:c r="G134" s="27" t="n">
        <x:f>COUNTIF(I134:P134,"Présent")</x:f>
        <x:v>0</x:v>
      </x:c>
      <x:c r="H134" s="24" t="str">
        <x:v>À assembler</x:v>
      </x:c>
      <x:c r="I134" s="24" t="str">
        <x:v>Référence</x:v>
      </x:c>
      <x:c r="J134" s="24" t="str">
        <x:v>Manquant</x:v>
      </x:c>
      <x:c r="K134" s="24" t="str">
        <x:v>Manquant</x:v>
      </x:c>
      <x:c r="L134" s="24" t="str">
        <x:v>Manquant</x:v>
      </x:c>
      <x:c r="M134" s="24" t="str">
        <x:v>Manquant</x:v>
      </x:c>
      <x:c r="N134" s="24" t="str">
        <x:v>Manquant</x:v>
      </x:c>
      <x:c r="O134" s="24" t="str">
        <x:v>Manquant</x:v>
      </x:c>
      <x:c r="P134" s="24" t="str">
        <x:v>Manquant</x:v>
      </x:c>
      <x:c r="Q134" s="24" t="str">
        <x:v>Commun</x:v>
      </x:c>
      <x:c r="R134" s="24" t="str">
        <x:v>Commun</x:v>
      </x:c>
      <x:c r="S134" s="24" t="str">
        <x:v>Commun</x:v>
      </x:c>
      <x:c r="T134" s="24" t="str">
        <x:v>Commun</x:v>
      </x:c>
      <x:c r="U134" s="24" t="str">
        <x:v>Commun</x:v>
      </x:c>
      <x:c r="V134" s="24" t="str">
        <x:v>Commun</x:v>
      </x:c>
      <x:c r="W134" s="24" t="str">
        <x:v>Non consignée</x:v>
      </x:c>
      <x:c r="X134" s="24" t="str">
        <x:v>Non consignée</x:v>
      </x:c>
      <x:c r="Y134" s="24" t="str">
        <x:v>Non consignée</x:v>
      </x:c>
      <x:c r="Z134" s="24" t="str">
        <x:v>Périmée (0/6)</x:v>
      </x:c>
      <x:c r="AA134" s="23" t="str">
        <x:v>Compléter le pack ; consigner QA, accord et publication.</x:v>
      </x:c>
      <x:c r="AB134" s="21" t="str">
        <x:v>1a63ecf787bc8d20e322314e1ba17987c83b1198</x:v>
      </x:c>
      <x:c r="AC134" s="21" t="str">
        <x:v>À intégrer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Lot 08</x:v>
      </x:c>
      <x:c r="E135" s="25" t="str">
        <x:v>Personnes</x:v>
      </x:c>
      <x:c r="F135" s="24" t="str">
        <x:f>IF(AND(G135=8,COUNTIF(Q135:V135,"Atlas")=6),"Intégré","À faire")</x:f>
        <x:v>Intégré</x:v>
      </x:c>
      <x:c r="G135" s="27" t="n">
        <x:f>COUNTIF(I135:P135,"Présent")</x:f>
        <x:v>8</x:v>
      </x:c>
      <x:c r="H135" s="24" t="str">
        <x:v>Archivé Drive</x:v>
      </x:c>
      <x:c r="I135" s="24" t="str">
        <x:v>Présent</x:v>
      </x:c>
      <x:c r="J135" s="24" t="str">
        <x:v>Présent</x:v>
      </x:c>
      <x:c r="K135" s="24" t="str">
        <x:v>Présent</x:v>
      </x:c>
      <x:c r="L135" s="24" t="str">
        <x:v>Présent</x:v>
      </x:c>
      <x:c r="M135" s="24" t="str">
        <x:v>Présent</x:v>
      </x:c>
      <x:c r="N135" s="24" t="str">
        <x:v>Présent</x:v>
      </x:c>
      <x:c r="O135" s="24" t="str">
        <x:v>Présent</x:v>
      </x:c>
      <x:c r="P135" s="24" t="str">
        <x:v>Présent</x:v>
      </x:c>
      <x:c r="Q135" s="24" t="str">
        <x:v>Atlas</x:v>
      </x:c>
      <x:c r="R135" s="24" t="str">
        <x:v>Atlas</x:v>
      </x:c>
      <x:c r="S135" s="24" t="str">
        <x:v>Atlas</x:v>
      </x:c>
      <x:c r="T135" s="24" t="str">
        <x:v>Atlas</x:v>
      </x:c>
      <x:c r="U135" s="24" t="str">
        <x:v>Atlas</x:v>
      </x:c>
      <x:c r="V135" s="24" t="str">
        <x:v>Atlas</x:v>
      </x:c>
      <x:c r="W135" s="24" t="str">
        <x:v>6/6 actuelles</x:v>
      </x:c>
      <x:c r="X135" s="24" t="str">
        <x:v>6/6 actuelles</x:v>
      </x:c>
      <x:c r="Y135" s="24" t="str">
        <x:v>Non consignée</x:v>
      </x:c>
      <x:c r="Z135" s="24" t="str">
        <x:v>Périmée (0/6)</x:v>
      </x:c>
      <x:c r="AA135" s="23" t="str">
        <x:v>Accord et publication du lot non consignés.</x:v>
      </x:c>
      <x:c r="AB135" s="21" t="str">
        <x:v>9184f780a23f21687350020fa3448d58e4e0aadd</x:v>
      </x:c>
      <x:c r="AC135" s="21" t="str">
        <x:v>En cours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À planifier</x:v>
      </x:c>
      <x:c r="E136" s="25" t="str">
        <x:v>Actions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Commun</x:v>
      </x:c>
      <x:c r="R136" s="24" t="str">
        <x:v>Commun</x:v>
      </x:c>
      <x:c r="S136" s="24" t="str">
        <x:v>Commun</x:v>
      </x:c>
      <x:c r="T136" s="24" t="str">
        <x:v>Commun</x:v>
      </x:c>
      <x:c r="U136" s="24" t="str">
        <x:v>Commun</x:v>
      </x:c>
      <x:c r="V136" s="24" t="str">
        <x:v>Commun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Périmée (0/6)</x:v>
      </x:c>
      <x:c r="AA136" s="23" t="str">
        <x:v>Compléter le pack ; consigner QA, accord et publication.</x:v>
      </x:c>
      <x:c r="AB136" s="21" t="str">
        <x:v>1a63ecf787bc8d20e322314e1ba17987c83b1198</x:v>
      </x:c>
      <x:c r="AC136" s="21" t="str">
        <x:v>À intégrer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À planifier</x:v>
      </x:c>
      <x:c r="E137" s="25" t="str">
        <x:v>Personnes</x:v>
      </x:c>
      <x:c r="F137" s="24" t="str">
        <x:f>IF(AND(G137=8,COUNTIF(Q137:V137,"Atlas")=6),"Intégré","À faire")</x:f>
        <x:v>À faire</x:v>
      </x:c>
      <x:c r="G137" s="27" t="n">
        <x:f>COUNTIF(I137:P137,"Présent")</x:f>
        <x:v>0</x:v>
      </x:c>
      <x:c r="H137" s="24" t="str">
        <x:v>À assembler</x:v>
      </x:c>
      <x:c r="I137" s="24" t="str">
        <x:v>Référence</x:v>
      </x:c>
      <x:c r="J137" s="24" t="str">
        <x:v>Manquant</x:v>
      </x:c>
      <x:c r="K137" s="24" t="str">
        <x:v>Manquant</x:v>
      </x:c>
      <x:c r="L137" s="24" t="str">
        <x:v>Manquant</x:v>
      </x:c>
      <x:c r="M137" s="24" t="str">
        <x:v>Manquant</x:v>
      </x:c>
      <x:c r="N137" s="24" t="str">
        <x:v>Manquant</x:v>
      </x:c>
      <x:c r="O137" s="24" t="str">
        <x:v>Manquant</x:v>
      </x:c>
      <x:c r="P137" s="24" t="str">
        <x:v>Manquant</x:v>
      </x:c>
      <x:c r="Q137" s="24" t="str">
        <x:v>Commun</x:v>
      </x:c>
      <x:c r="R137" s="24" t="str">
        <x:v>Commun</x:v>
      </x:c>
      <x:c r="S137" s="24" t="str">
        <x:v>Commun</x:v>
      </x:c>
      <x:c r="T137" s="24" t="str">
        <x:v>Commun</x:v>
      </x:c>
      <x:c r="U137" s="24" t="str">
        <x:v>Commun</x:v>
      </x:c>
      <x:c r="V137" s="24" t="str">
        <x:v>Commun</x:v>
      </x:c>
      <x:c r="W137" s="24" t="str">
        <x:v>Non consignée</x:v>
      </x:c>
      <x:c r="X137" s="24" t="str">
        <x:v>Non consignée</x:v>
      </x:c>
      <x:c r="Y137" s="24" t="str">
        <x:v>Non consignée</x:v>
      </x:c>
      <x:c r="Z137" s="24" t="str">
        <x:v>Périmée (0/6)</x:v>
      </x:c>
      <x:c r="AA137" s="23" t="str">
        <x:v>Compléter le pack ; consigner QA, accord et publication.</x:v>
      </x:c>
      <x:c r="AB137" s="21" t="str">
        <x:v>1a63ecf787bc8d20e322314e1ba17987c83b1198</x:v>
      </x:c>
      <x:c r="AC137" s="21" t="str">
        <x:v>À intégrer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À planifier</x:v>
      </x:c>
      <x:c r="E138" s="25" t="str">
        <x:v>Ciel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Périmée (0/6)</x:v>
      </x:c>
      <x:c r="AA138" s="23" t="str">
        <x:v>Compléter le pack ; consigner QA, accord et publication.</x:v>
      </x:c>
      <x:c r="AB138" s="21" t="str">
        <x:v>1a63ecf787bc8d20e322314e1ba17987c83b1198</x:v>
      </x:c>
      <x:c r="AC138" s="21" t="str">
        <x:v>À intégrer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À planifier</x:v>
      </x:c>
      <x:c r="E139" s="25" t="str">
        <x:v>Actions</x:v>
      </x:c>
      <x:c r="F139" s="24" t="str">
        <x:f>IF(AND(G139=8,COUNTIF(Q139:V139,"Atlas")=6),"Intégré","À faire")</x:f>
        <x:v>À faire</x:v>
      </x:c>
      <x:c r="G139" s="27" t="n">
        <x:f>COUNTIF(I139:P139,"Présent")</x:f>
        <x:v>0</x:v>
      </x:c>
      <x:c r="H139" s="24" t="str">
        <x:v>À assembler</x:v>
      </x:c>
      <x:c r="I139" s="24" t="str">
        <x:v>Référence</x:v>
      </x:c>
      <x:c r="J139" s="24" t="str">
        <x:v>Manquant</x:v>
      </x:c>
      <x:c r="K139" s="24" t="str">
        <x:v>Manquant</x:v>
      </x:c>
      <x:c r="L139" s="24" t="str">
        <x:v>Manquant</x:v>
      </x:c>
      <x:c r="M139" s="24" t="str">
        <x:v>Manquant</x:v>
      </x:c>
      <x:c r="N139" s="24" t="str">
        <x:v>Manquant</x:v>
      </x:c>
      <x:c r="O139" s="24" t="str">
        <x:v>Manquant</x:v>
      </x:c>
      <x:c r="P139" s="24" t="str">
        <x:v>Manquant</x:v>
      </x:c>
      <x:c r="Q139" s="24" t="str">
        <x:v>Commun</x:v>
      </x:c>
      <x:c r="R139" s="24" t="str">
        <x:v>Commun</x:v>
      </x:c>
      <x:c r="S139" s="24" t="str">
        <x:v>Commun</x:v>
      </x:c>
      <x:c r="T139" s="24" t="str">
        <x:v>Commun</x:v>
      </x:c>
      <x:c r="U139" s="24" t="str">
        <x:v>Commun</x:v>
      </x:c>
      <x:c r="V139" s="24" t="str">
        <x:v>Commun</x:v>
      </x:c>
      <x:c r="W139" s="24" t="str">
        <x:v>Non consignée</x:v>
      </x:c>
      <x:c r="X139" s="24" t="str">
        <x:v>Non consignée</x:v>
      </x:c>
      <x:c r="Y139" s="24" t="str">
        <x:v>Non consignée</x:v>
      </x:c>
      <x:c r="Z139" s="24" t="str">
        <x:v>Périmée (0/6)</x:v>
      </x:c>
      <x:c r="AA139" s="23" t="str">
        <x:v>Compléter le pack ; consigner QA, accord et publication.</x:v>
      </x:c>
      <x:c r="AB139" s="21" t="str">
        <x:v>1a63ecf787bc8d20e322314e1ba17987c83b1198</x:v>
      </x:c>
      <x:c r="AC139" s="21" t="str">
        <x:v>À intégrer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À planifier</x:v>
      </x:c>
      <x:c r="E140" s="25" t="str">
        <x:v>Nature</x:v>
      </x:c>
      <x:c r="F140" s="24" t="str">
        <x:f>IF(AND(G140=8,COUNTIF(Q140:V140,"Atlas")=6),"Intégré","À faire")</x:f>
        <x:v>À faire</x:v>
      </x:c>
      <x:c r="G140" s="27" t="n">
        <x:f>COUNTIF(I140:P140,"Présent")</x:f>
        <x:v>0</x:v>
      </x:c>
      <x:c r="H140" s="24" t="str">
        <x:v>À assembler</x:v>
      </x:c>
      <x:c r="I140" s="24" t="str">
        <x:v>Référence</x:v>
      </x:c>
      <x:c r="J140" s="24" t="str">
        <x:v>Manquant</x:v>
      </x:c>
      <x:c r="K140" s="24" t="str">
        <x:v>Manquant</x:v>
      </x:c>
      <x:c r="L140" s="24" t="str">
        <x:v>Manquant</x:v>
      </x:c>
      <x:c r="M140" s="24" t="str">
        <x:v>Manquant</x:v>
      </x:c>
      <x:c r="N140" s="24" t="str">
        <x:v>Manquant</x:v>
      </x:c>
      <x:c r="O140" s="24" t="str">
        <x:v>Manquant</x:v>
      </x:c>
      <x:c r="P140" s="24" t="str">
        <x:v>Manquant</x:v>
      </x:c>
      <x:c r="Q140" s="24" t="str">
        <x:v>Commun</x:v>
      </x:c>
      <x:c r="R140" s="24" t="str">
        <x:v>Commun</x:v>
      </x:c>
      <x:c r="S140" s="24" t="str">
        <x:v>Commun</x:v>
      </x:c>
      <x:c r="T140" s="24" t="str">
        <x:v>Commun</x:v>
      </x:c>
      <x:c r="U140" s="24" t="str">
        <x:v>Commun</x:v>
      </x:c>
      <x:c r="V140" s="24" t="str">
        <x:v>Commun</x:v>
      </x:c>
      <x:c r="W140" s="24" t="str">
        <x:v>Non consignée</x:v>
      </x:c>
      <x:c r="X140" s="24" t="str">
        <x:v>Non consignée</x:v>
      </x:c>
      <x:c r="Y140" s="24" t="str">
        <x:v>Non consignée</x:v>
      </x:c>
      <x:c r="Z140" s="24" t="str">
        <x:v>Périmée (0/6)</x:v>
      </x:c>
      <x:c r="AA140" s="23" t="str">
        <x:v>Compléter le pack ; consigner QA, accord et publication.</x:v>
      </x:c>
      <x:c r="AB140" s="21" t="str">
        <x:v>1a63ecf787bc8d20e322314e1ba17987c83b1198</x:v>
      </x:c>
      <x:c r="AC140" s="21" t="str">
        <x:v>À intégrer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Lot 08</x:v>
      </x:c>
      <x:c r="E141" s="25" t="str">
        <x:v>Lieux</x:v>
      </x:c>
      <x:c r="F141" s="24" t="str">
        <x:f>IF(AND(G141=8,COUNTIF(Q141:V141,"Atlas")=6),"Intégré","À faire")</x:f>
        <x:v>Intégré</x:v>
      </x:c>
      <x:c r="G141" s="27" t="n">
        <x:f>COUNTIF(I141:P141,"Présent")</x:f>
        <x:v>8</x:v>
      </x:c>
      <x:c r="H141" s="24" t="str">
        <x:v>Archivé Drive</x:v>
      </x:c>
      <x:c r="I141" s="24" t="str">
        <x:v>Présent</x:v>
      </x:c>
      <x:c r="J141" s="24" t="str">
        <x:v>Présent</x:v>
      </x:c>
      <x:c r="K141" s="24" t="str">
        <x:v>Présent</x:v>
      </x:c>
      <x:c r="L141" s="24" t="str">
        <x:v>Présent</x:v>
      </x:c>
      <x:c r="M141" s="24" t="str">
        <x:v>Présent</x:v>
      </x:c>
      <x:c r="N141" s="24" t="str">
        <x:v>Présent</x:v>
      </x:c>
      <x:c r="O141" s="24" t="str">
        <x:v>Présent</x:v>
      </x:c>
      <x:c r="P141" s="24" t="str">
        <x:v>Présent</x:v>
      </x:c>
      <x:c r="Q141" s="24" t="str">
        <x:v>Atlas</x:v>
      </x:c>
      <x:c r="R141" s="24" t="str">
        <x:v>Atlas</x:v>
      </x:c>
      <x:c r="S141" s="24" t="str">
        <x:v>Atlas</x:v>
      </x:c>
      <x:c r="T141" s="24" t="str">
        <x:v>Atlas</x:v>
      </x:c>
      <x:c r="U141" s="24" t="str">
        <x:v>Atlas</x:v>
      </x:c>
      <x:c r="V141" s="24" t="str">
        <x:v>Atlas</x:v>
      </x:c>
      <x:c r="W141" s="24" t="str">
        <x:v>6/6 actuelles</x:v>
      </x:c>
      <x:c r="X141" s="24" t="str">
        <x:v>6/6 actuelles</x:v>
      </x:c>
      <x:c r="Y141" s="24" t="str">
        <x:v>Non consignée</x:v>
      </x:c>
      <x:c r="Z141" s="24" t="str">
        <x:v>Périmée (0/6)</x:v>
      </x:c>
      <x:c r="AA141" s="23" t="str">
        <x:v>Accord et publication du lot non consignés.</x:v>
      </x:c>
      <x:c r="AB141" s="21" t="str">
        <x:v>9184f780a23f21687350020fa3448d58e4e0aadd</x:v>
      </x:c>
      <x:c r="AC141" s="21" t="str">
        <x:v>En cours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À planifier</x:v>
      </x:c>
      <x:c r="E142" s="25" t="str">
        <x:v>Lieux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Commun</x:v>
      </x:c>
      <x:c r="R142" s="24" t="str">
        <x:v>Commun</x:v>
      </x:c>
      <x:c r="S142" s="24" t="str">
        <x:v>Commun</x:v>
      </x:c>
      <x:c r="T142" s="24" t="str">
        <x:v>Commun</x:v>
      </x:c>
      <x:c r="U142" s="24" t="str">
        <x:v>Commun</x:v>
      </x:c>
      <x:c r="V142" s="24" t="str">
        <x:v>Commun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Périmée (0/6)</x:v>
      </x:c>
      <x:c r="AA142" s="23" t="str">
        <x:v>Compléter le pack ; consigner QA, accord et publication.</x:v>
      </x:c>
      <x:c r="AB142" s="21" t="str">
        <x:v>1a63ecf787bc8d20e322314e1ba17987c83b1198</x:v>
      </x:c>
      <x:c r="AC142" s="21" t="str">
        <x:v>À intégrer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À planifier</x:v>
      </x:c>
      <x:c r="E143" s="25" t="str">
        <x:v>Animaux</x:v>
      </x:c>
      <x:c r="F143" s="24" t="str">
        <x:f>IF(AND(G143=8,COUNTIF(Q143:V143,"Atlas")=6),"Intégré","À faire")</x:f>
        <x:v>À faire</x:v>
      </x:c>
      <x:c r="G143" s="27" t="n">
        <x:f>COUNTIF(I143:P143,"Présent")</x:f>
        <x:v>0</x:v>
      </x:c>
      <x:c r="H143" s="24" t="str">
        <x:v>À assembler</x:v>
      </x:c>
      <x:c r="I143" s="24" t="str">
        <x:v>Référence</x:v>
      </x:c>
      <x:c r="J143" s="24" t="str">
        <x:v>Manquant</x:v>
      </x:c>
      <x:c r="K143" s="24" t="str">
        <x:v>Manquant</x:v>
      </x:c>
      <x:c r="L143" s="24" t="str">
        <x:v>Manquant</x:v>
      </x:c>
      <x:c r="M143" s="24" t="str">
        <x:v>Manquant</x:v>
      </x:c>
      <x:c r="N143" s="24" t="str">
        <x:v>Manquant</x:v>
      </x:c>
      <x:c r="O143" s="24" t="str">
        <x:v>Manquant</x:v>
      </x:c>
      <x:c r="P143" s="24" t="str">
        <x:v>Manquant</x:v>
      </x:c>
      <x:c r="Q143" s="24" t="str">
        <x:v>Commun</x:v>
      </x:c>
      <x:c r="R143" s="24" t="str">
        <x:v>Commun</x:v>
      </x:c>
      <x:c r="S143" s="24" t="str">
        <x:v>Commun</x:v>
      </x:c>
      <x:c r="T143" s="24" t="str">
        <x:v>Commun</x:v>
      </x:c>
      <x:c r="U143" s="24" t="str">
        <x:v>Commun</x:v>
      </x:c>
      <x:c r="V143" s="24" t="str">
        <x:v>Commun</x:v>
      </x:c>
      <x:c r="W143" s="24" t="str">
        <x:v>Non consignée</x:v>
      </x:c>
      <x:c r="X143" s="24" t="str">
        <x:v>Non consignée</x:v>
      </x:c>
      <x:c r="Y143" s="24" t="str">
        <x:v>Non consignée</x:v>
      </x:c>
      <x:c r="Z143" s="24" t="str">
        <x:v>Périmée (0/6)</x:v>
      </x:c>
      <x:c r="AA143" s="23" t="str">
        <x:v>Compléter le pack ; consigner QA, accord et publication.</x:v>
      </x:c>
      <x:c r="AB143" s="21" t="str">
        <x:v>1a63ecf787bc8d20e322314e1ba17987c83b1198</x:v>
      </x:c>
      <x:c r="AC143" s="21" t="str">
        <x:v>À intégrer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À planifier</x:v>
      </x:c>
      <x:c r="E144" s="25" t="str">
        <x:v>Actions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Commun</x:v>
      </x:c>
      <x:c r="R144" s="24" t="str">
        <x:v>Commun</x:v>
      </x:c>
      <x:c r="S144" s="24" t="str">
        <x:v>Commun</x:v>
      </x:c>
      <x:c r="T144" s="24" t="str">
        <x:v>Commun</x:v>
      </x:c>
      <x:c r="U144" s="24" t="str">
        <x:v>Commun</x:v>
      </x:c>
      <x:c r="V144" s="24" t="str">
        <x:v>Commun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Périmée (0/6)</x:v>
      </x:c>
      <x:c r="AA144" s="23" t="str">
        <x:v>Compléter le pack ; consigner QA, accord et publication.</x:v>
      </x:c>
      <x:c r="AB144" s="21" t="str">
        <x:v>1a63ecf787bc8d20e322314e1ba17987c83b1198</x:v>
      </x:c>
      <x:c r="AC144" s="21" t="str">
        <x:v>À intégrer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Lot 08</x:v>
      </x:c>
      <x:c r="E145" s="25" t="str">
        <x:v>Personnes</x:v>
      </x:c>
      <x:c r="F145" s="24" t="str">
        <x:f>IF(AND(G145=8,COUNTIF(Q145:V145,"Atlas")=6),"Intégré","À faire")</x:f>
        <x:v>Intégré</x:v>
      </x:c>
      <x:c r="G145" s="27" t="n">
        <x:f>COUNTIF(I145:P145,"Présent")</x:f>
        <x:v>8</x:v>
      </x:c>
      <x:c r="H145" s="24" t="str">
        <x:v>Archivé Drive</x:v>
      </x:c>
      <x:c r="I145" s="24" t="str">
        <x:v>Présent</x:v>
      </x:c>
      <x:c r="J145" s="24" t="str">
        <x:v>Présent</x:v>
      </x:c>
      <x:c r="K145" s="24" t="str">
        <x:v>Présent</x:v>
      </x:c>
      <x:c r="L145" s="24" t="str">
        <x:v>Présent</x:v>
      </x:c>
      <x:c r="M145" s="24" t="str">
        <x:v>Présent</x:v>
      </x:c>
      <x:c r="N145" s="24" t="str">
        <x:v>Présent</x:v>
      </x:c>
      <x:c r="O145" s="24" t="str">
        <x:v>Présent</x:v>
      </x:c>
      <x:c r="P145" s="24" t="str">
        <x:v>Présent</x:v>
      </x:c>
      <x:c r="Q145" s="24" t="str">
        <x:v>Atlas</x:v>
      </x:c>
      <x:c r="R145" s="24" t="str">
        <x:v>Atlas</x:v>
      </x:c>
      <x:c r="S145" s="24" t="str">
        <x:v>Atlas</x:v>
      </x:c>
      <x:c r="T145" s="24" t="str">
        <x:v>Atlas</x:v>
      </x:c>
      <x:c r="U145" s="24" t="str">
        <x:v>Atlas</x:v>
      </x:c>
      <x:c r="V145" s="24" t="str">
        <x:v>Atlas</x:v>
      </x:c>
      <x:c r="W145" s="24" t="str">
        <x:v>6/6 actuelles</x:v>
      </x:c>
      <x:c r="X145" s="24" t="str">
        <x:v>6/6 actuelles</x:v>
      </x:c>
      <x:c r="Y145" s="24" t="str">
        <x:v>Non consignée</x:v>
      </x:c>
      <x:c r="Z145" s="24" t="str">
        <x:v>Périmée (0/6)</x:v>
      </x:c>
      <x:c r="AA145" s="23" t="str">
        <x:v>Accord et publication du lot non consignés.</x:v>
      </x:c>
      <x:c r="AB145" s="21" t="str">
        <x:v>9184f780a23f21687350020fa3448d58e4e0aadd</x:v>
      </x:c>
      <x:c r="AC145" s="21" t="str">
        <x:v>En cours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À planifier</x:v>
      </x:c>
      <x:c r="E146" s="25" t="str">
        <x:v>Actions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Commun</x:v>
      </x:c>
      <x:c r="R146" s="24" t="str">
        <x:v>Commun</x:v>
      </x:c>
      <x:c r="S146" s="24" t="str">
        <x:v>Commun</x:v>
      </x:c>
      <x:c r="T146" s="24" t="str">
        <x:v>Commun</x:v>
      </x:c>
      <x:c r="U146" s="24" t="str">
        <x:v>Commun</x:v>
      </x:c>
      <x:c r="V146" s="24" t="str">
        <x:v>Commun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Périmée (0/6)</x:v>
      </x:c>
      <x:c r="AA146" s="23" t="str">
        <x:v>Compléter le pack ; consigner QA, accord et publication.</x:v>
      </x:c>
      <x:c r="AB146" s="21" t="str">
        <x:v>1a63ecf787bc8d20e322314e1ba17987c83b1198</x:v>
      </x:c>
      <x:c r="AC146" s="21" t="str">
        <x:v>À intégrer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À planifier</x:v>
      </x:c>
      <x:c r="E147" s="25" t="str">
        <x:v>Actions</x:v>
      </x:c>
      <x:c r="F147" s="24" t="str">
        <x:f>IF(AND(G147=8,COUNTIF(Q147:V147,"Atlas")=6),"Intégré","À faire")</x:f>
        <x:v>À faire</x:v>
      </x:c>
      <x:c r="G147" s="27" t="n">
        <x:f>COUNTIF(I147:P147,"Présent")</x:f>
        <x:v>0</x:v>
      </x:c>
      <x:c r="H147" s="24" t="str">
        <x:v>À assembler</x:v>
      </x:c>
      <x:c r="I147" s="24" t="str">
        <x:v>Référence</x:v>
      </x:c>
      <x:c r="J147" s="24" t="str">
        <x:v>Manquant</x:v>
      </x:c>
      <x:c r="K147" s="24" t="str">
        <x:v>Manquant</x:v>
      </x:c>
      <x:c r="L147" s="24" t="str">
        <x:v>Manquant</x:v>
      </x:c>
      <x:c r="M147" s="24" t="str">
        <x:v>Manquant</x:v>
      </x:c>
      <x:c r="N147" s="24" t="str">
        <x:v>Manquant</x:v>
      </x:c>
      <x:c r="O147" s="24" t="str">
        <x:v>Manquant</x:v>
      </x:c>
      <x:c r="P147" s="24" t="str">
        <x:v>Manquant</x:v>
      </x:c>
      <x:c r="Q147" s="24" t="str">
        <x:v>Commun</x:v>
      </x:c>
      <x:c r="R147" s="24" t="str">
        <x:v>Commun</x:v>
      </x:c>
      <x:c r="S147" s="24" t="str">
        <x:v>Commun</x:v>
      </x:c>
      <x:c r="T147" s="24" t="str">
        <x:v>Commun</x:v>
      </x:c>
      <x:c r="U147" s="24" t="str">
        <x:v>Commun</x:v>
      </x:c>
      <x:c r="V147" s="24" t="str">
        <x:v>Commun</x:v>
      </x:c>
      <x:c r="W147" s="24" t="str">
        <x:v>Non consignée</x:v>
      </x:c>
      <x:c r="X147" s="24" t="str">
        <x:v>Non consignée</x:v>
      </x:c>
      <x:c r="Y147" s="24" t="str">
        <x:v>Non consignée</x:v>
      </x:c>
      <x:c r="Z147" s="24" t="str">
        <x:v>Périmée (0/6)</x:v>
      </x:c>
      <x:c r="AA147" s="23" t="str">
        <x:v>Compléter le pack ; consigner QA, accord et publication.</x:v>
      </x:c>
      <x:c r="AB147" s="21" t="str">
        <x:v>1a63ecf787bc8d20e322314e1ba17987c83b1198</x:v>
      </x:c>
      <x:c r="AC147" s="21" t="str">
        <x:v>À intégrer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À planifier</x:v>
      </x:c>
      <x:c r="E148" s="25" t="str">
        <x:v>Actions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Commun</x:v>
      </x:c>
      <x:c r="R148" s="24" t="str">
        <x:v>Commun</x:v>
      </x:c>
      <x:c r="S148" s="24" t="str">
        <x:v>Commun</x:v>
      </x:c>
      <x:c r="T148" s="24" t="str">
        <x:v>Commun</x:v>
      </x:c>
      <x:c r="U148" s="24" t="str">
        <x:v>Commun</x:v>
      </x:c>
      <x:c r="V148" s="24" t="str">
        <x:v>Commun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Périmée (0/6)</x:v>
      </x:c>
      <x:c r="AA148" s="23" t="str">
        <x:v>Compléter le pack ; consigner QA, accord et publication.</x:v>
      </x:c>
      <x:c r="AB148" s="21" t="str">
        <x:v>1a63ecf787bc8d20e322314e1ba17987c83b1198</x:v>
      </x:c>
      <x:c r="AC148" s="21" t="str">
        <x:v>À intégrer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À planifier</x:v>
      </x:c>
      <x:c r="E149" s="25" t="str">
        <x:v>Actions</x:v>
      </x:c>
      <x:c r="F149" s="24" t="str">
        <x:f>IF(AND(G149=8,COUNTIF(Q149:V149,"Atlas")=6),"Intégré","À faire")</x:f>
        <x:v>À faire</x:v>
      </x:c>
      <x:c r="G149" s="27" t="n">
        <x:f>COUNTIF(I149:P149,"Présent")</x:f>
        <x:v>0</x:v>
      </x:c>
      <x:c r="H149" s="24" t="str">
        <x:v>À assembler</x:v>
      </x:c>
      <x:c r="I149" s="24" t="str">
        <x:v>Référence</x:v>
      </x:c>
      <x:c r="J149" s="24" t="str">
        <x:v>Manquant</x:v>
      </x:c>
      <x:c r="K149" s="24" t="str">
        <x:v>Manquant</x:v>
      </x:c>
      <x:c r="L149" s="24" t="str">
        <x:v>Manquant</x:v>
      </x:c>
      <x:c r="M149" s="24" t="str">
        <x:v>Manquant</x:v>
      </x:c>
      <x:c r="N149" s="24" t="str">
        <x:v>Manquant</x:v>
      </x:c>
      <x:c r="O149" s="24" t="str">
        <x:v>Manquant</x:v>
      </x:c>
      <x:c r="P149" s="24" t="str">
        <x:v>Manquant</x:v>
      </x:c>
      <x:c r="Q149" s="24" t="str">
        <x:v>Commun</x:v>
      </x:c>
      <x:c r="R149" s="24" t="str">
        <x:v>Commun</x:v>
      </x:c>
      <x:c r="S149" s="24" t="str">
        <x:v>Commun</x:v>
      </x:c>
      <x:c r="T149" s="24" t="str">
        <x:v>Commun</x:v>
      </x:c>
      <x:c r="U149" s="24" t="str">
        <x:v>Commun</x:v>
      </x:c>
      <x:c r="V149" s="24" t="str">
        <x:v>Commun</x:v>
      </x:c>
      <x:c r="W149" s="24" t="str">
        <x:v>Non consignée</x:v>
      </x:c>
      <x:c r="X149" s="24" t="str">
        <x:v>Non consignée</x:v>
      </x:c>
      <x:c r="Y149" s="24" t="str">
        <x:v>Non consignée</x:v>
      </x:c>
      <x:c r="Z149" s="24" t="str">
        <x:v>Périmée (0/6)</x:v>
      </x:c>
      <x:c r="AA149" s="23" t="str">
        <x:v>Compléter le pack ; consigner QA, accord et publication.</x:v>
      </x:c>
      <x:c r="AB149" s="21" t="str">
        <x:v>1a63ecf787bc8d20e322314e1ba17987c83b1198</x:v>
      </x:c>
      <x:c r="AC149" s="21" t="str">
        <x:v>À intégrer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Lot 08</x:v>
      </x:c>
      <x:c r="E150" s="25" t="str">
        <x:v>Actions</x:v>
      </x:c>
      <x:c r="F150" s="24" t="str">
        <x:f>IF(AND(G150=8,COUNTIF(Q150:V150,"Atlas")=6),"Intégré","À faire")</x:f>
        <x:v>Intégré</x:v>
      </x:c>
      <x:c r="G150" s="27" t="n">
        <x:f>COUNTIF(I150:P150,"Présent")</x:f>
        <x:v>8</x:v>
      </x:c>
      <x:c r="H150" s="24" t="str">
        <x:v>Archivé Drive</x:v>
      </x:c>
      <x:c r="I150" s="24" t="str">
        <x:v>Présent</x:v>
      </x:c>
      <x:c r="J150" s="24" t="str">
        <x:v>Présent</x:v>
      </x:c>
      <x:c r="K150" s="24" t="str">
        <x:v>Présent</x:v>
      </x:c>
      <x:c r="L150" s="24" t="str">
        <x:v>Présent</x:v>
      </x:c>
      <x:c r="M150" s="24" t="str">
        <x:v>Présent</x:v>
      </x:c>
      <x:c r="N150" s="24" t="str">
        <x:v>Présent</x:v>
      </x:c>
      <x:c r="O150" s="24" t="str">
        <x:v>Présent</x:v>
      </x:c>
      <x:c r="P150" s="24" t="str">
        <x:v>Présent</x:v>
      </x:c>
      <x:c r="Q150" s="24" t="str">
        <x:v>Atlas</x:v>
      </x:c>
      <x:c r="R150" s="24" t="str">
        <x:v>Atlas</x:v>
      </x:c>
      <x:c r="S150" s="24" t="str">
        <x:v>Atlas</x:v>
      </x:c>
      <x:c r="T150" s="24" t="str">
        <x:v>Atlas</x:v>
      </x:c>
      <x:c r="U150" s="24" t="str">
        <x:v>Atlas</x:v>
      </x:c>
      <x:c r="V150" s="24" t="str">
        <x:v>Atlas</x:v>
      </x:c>
      <x:c r="W150" s="24" t="str">
        <x:v>6/6 actuelles</x:v>
      </x:c>
      <x:c r="X150" s="24" t="str">
        <x:v>6/6 actuelles</x:v>
      </x:c>
      <x:c r="Y150" s="24" t="str">
        <x:v>Non consignée</x:v>
      </x:c>
      <x:c r="Z150" s="24" t="str">
        <x:v>Périmée (0/6)</x:v>
      </x:c>
      <x:c r="AA150" s="23" t="str">
        <x:v>Accord et publication du lot non consignés.</x:v>
      </x:c>
      <x:c r="AB150" s="21" t="str">
        <x:v>9184f780a23f21687350020fa3448d58e4e0aadd</x:v>
      </x:c>
      <x:c r="AC150" s="21" t="str">
        <x:v>En cours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Lot 08</x:v>
      </x:c>
      <x:c r="E151" s="25" t="str">
        <x:v>Personnes</x:v>
      </x:c>
      <x:c r="F151" s="24" t="str">
        <x:f>IF(AND(G151=8,COUNTIF(Q151:V151,"Atlas")=6),"Intégré","À faire")</x:f>
        <x:v>Intégré</x:v>
      </x:c>
      <x:c r="G151" s="27" t="n">
        <x:f>COUNTIF(I151:P151,"Présent")</x:f>
        <x:v>8</x:v>
      </x:c>
      <x:c r="H151" s="24" t="str">
        <x:v>Archivé Drive</x:v>
      </x:c>
      <x:c r="I151" s="24" t="str">
        <x:v>Présent</x:v>
      </x:c>
      <x:c r="J151" s="24" t="str">
        <x:v>Présent</x:v>
      </x:c>
      <x:c r="K151" s="24" t="str">
        <x:v>Présent</x:v>
      </x:c>
      <x:c r="L151" s="24" t="str">
        <x:v>Présent</x:v>
      </x:c>
      <x:c r="M151" s="24" t="str">
        <x:v>Présent</x:v>
      </x:c>
      <x:c r="N151" s="24" t="str">
        <x:v>Présent</x:v>
      </x:c>
      <x:c r="O151" s="24" t="str">
        <x:v>Présent</x:v>
      </x:c>
      <x:c r="P151" s="24" t="str">
        <x:v>Présent</x:v>
      </x:c>
      <x:c r="Q151" s="24" t="str">
        <x:v>Atlas</x:v>
      </x:c>
      <x:c r="R151" s="24" t="str">
        <x:v>Atlas</x:v>
      </x:c>
      <x:c r="S151" s="24" t="str">
        <x:v>Atlas</x:v>
      </x:c>
      <x:c r="T151" s="24" t="str">
        <x:v>Atlas</x:v>
      </x:c>
      <x:c r="U151" s="24" t="str">
        <x:v>Atlas</x:v>
      </x:c>
      <x:c r="V151" s="24" t="str">
        <x:v>Atlas</x:v>
      </x:c>
      <x:c r="W151" s="24" t="str">
        <x:v>6/6 actuelles</x:v>
      </x:c>
      <x:c r="X151" s="24" t="str">
        <x:v>6/6 actuelles</x:v>
      </x:c>
      <x:c r="Y151" s="24" t="str">
        <x:v>Non consignée</x:v>
      </x:c>
      <x:c r="Z151" s="24" t="str">
        <x:v>Périmée (0/6)</x:v>
      </x:c>
      <x:c r="AA151" s="23" t="str">
        <x:v>Accord et publication du lot non consignés.</x:v>
      </x:c>
      <x:c r="AB151" s="21" t="str">
        <x:v>9184f780a23f21687350020fa3448d58e4e0aadd</x:v>
      </x:c>
      <x:c r="AC151" s="21" t="str">
        <x:v>En cours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Lot 08</x:v>
      </x:c>
      <x:c r="E152" s="25" t="str">
        <x:v>Actions</x:v>
      </x:c>
      <x:c r="F152" s="24" t="str">
        <x:f>IF(AND(G152=8,COUNTIF(Q152:V152,"Atlas")=6),"Intégré","À faire")</x:f>
        <x:v>Intégré</x:v>
      </x:c>
      <x:c r="G152" s="27" t="n">
        <x:f>COUNTIF(I152:P152,"Présent")</x:f>
        <x:v>8</x:v>
      </x:c>
      <x:c r="H152" s="24" t="str">
        <x:v>Archivé Drive</x:v>
      </x:c>
      <x:c r="I152" s="24" t="str">
        <x:v>Présent</x:v>
      </x:c>
      <x:c r="J152" s="24" t="str">
        <x:v>Présent</x:v>
      </x:c>
      <x:c r="K152" s="24" t="str">
        <x:v>Présent</x:v>
      </x:c>
      <x:c r="L152" s="24" t="str">
        <x:v>Présent</x:v>
      </x:c>
      <x:c r="M152" s="24" t="str">
        <x:v>Présent</x:v>
      </x:c>
      <x:c r="N152" s="24" t="str">
        <x:v>Présent</x:v>
      </x:c>
      <x:c r="O152" s="24" t="str">
        <x:v>Présent</x:v>
      </x:c>
      <x:c r="P152" s="24" t="str">
        <x:v>Présent</x:v>
      </x:c>
      <x:c r="Q152" s="24" t="str">
        <x:v>Atlas</x:v>
      </x:c>
      <x:c r="R152" s="24" t="str">
        <x:v>Atlas</x:v>
      </x:c>
      <x:c r="S152" s="24" t="str">
        <x:v>Atlas</x:v>
      </x:c>
      <x:c r="T152" s="24" t="str">
        <x:v>Atlas</x:v>
      </x:c>
      <x:c r="U152" s="24" t="str">
        <x:v>Atlas</x:v>
      </x:c>
      <x:c r="V152" s="24" t="str">
        <x:v>Atlas</x:v>
      </x:c>
      <x:c r="W152" s="24" t="str">
        <x:v>6/6 actuelles</x:v>
      </x:c>
      <x:c r="X152" s="24" t="str">
        <x:v>6/6 actuelles</x:v>
      </x:c>
      <x:c r="Y152" s="24" t="str">
        <x:v>Non consignée</x:v>
      </x:c>
      <x:c r="Z152" s="24" t="str">
        <x:v>Périmée (0/6)</x:v>
      </x:c>
      <x:c r="AA152" s="23" t="str">
        <x:v>Accord et publication du lot non consignés.</x:v>
      </x:c>
      <x:c r="AB152" s="21" t="str">
        <x:v>9184f780a23f21687350020fa3448d58e4e0aadd</x:v>
      </x:c>
      <x:c r="AC152" s="21" t="str">
        <x:v>En cours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À planifier</x:v>
      </x:c>
      <x:c r="E153" s="25" t="str">
        <x:v>Personnes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Commun</x:v>
      </x:c>
      <x:c r="R153" s="24" t="str">
        <x:v>Commun</x:v>
      </x:c>
      <x:c r="S153" s="24" t="str">
        <x:v>Commun</x:v>
      </x:c>
      <x:c r="T153" s="24" t="str">
        <x:v>Commun</x:v>
      </x:c>
      <x:c r="U153" s="24" t="str">
        <x:v>Commun</x:v>
      </x:c>
      <x:c r="V153" s="24" t="str">
        <x:v>Commun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Périmée (0/6)</x:v>
      </x:c>
      <x:c r="AA153" s="23" t="str">
        <x:v>Compléter le pack ; consigner QA, accord et publication.</x:v>
      </x:c>
      <x:c r="AB153" s="21" t="str">
        <x:v>1a63ecf787bc8d20e322314e1ba17987c83b1198</x:v>
      </x:c>
      <x:c r="AC153" s="21" t="str">
        <x:v>À intégrer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Lot 08</x:v>
      </x:c>
      <x:c r="E154" s="25" t="str">
        <x:v>Lieux</x:v>
      </x:c>
      <x:c r="F154" s="24" t="str">
        <x:f>IF(AND(G154=8,COUNTIF(Q154:V154,"Atlas")=6),"Intégré","À faire")</x:f>
        <x:v>Intégré</x:v>
      </x:c>
      <x:c r="G154" s="27" t="n">
        <x:f>COUNTIF(I154:P154,"Présent")</x:f>
        <x:v>8</x:v>
      </x:c>
      <x:c r="H154" s="24" t="str">
        <x:v>Archivé Drive</x:v>
      </x:c>
      <x:c r="I154" s="24" t="str">
        <x:v>Présent</x:v>
      </x:c>
      <x:c r="J154" s="24" t="str">
        <x:v>Présent</x:v>
      </x:c>
      <x:c r="K154" s="24" t="str">
        <x:v>Présent</x:v>
      </x:c>
      <x:c r="L154" s="24" t="str">
        <x:v>Présent</x:v>
      </x:c>
      <x:c r="M154" s="24" t="str">
        <x:v>Présent</x:v>
      </x:c>
      <x:c r="N154" s="24" t="str">
        <x:v>Présent</x:v>
      </x:c>
      <x:c r="O154" s="24" t="str">
        <x:v>Présent</x:v>
      </x:c>
      <x:c r="P154" s="24" t="str">
        <x:v>Présent</x:v>
      </x:c>
      <x:c r="Q154" s="24" t="str">
        <x:v>Atlas</x:v>
      </x:c>
      <x:c r="R154" s="24" t="str">
        <x:v>Atlas</x:v>
      </x:c>
      <x:c r="S154" s="24" t="str">
        <x:v>Atlas</x:v>
      </x:c>
      <x:c r="T154" s="24" t="str">
        <x:v>Atlas</x:v>
      </x:c>
      <x:c r="U154" s="24" t="str">
        <x:v>Atlas</x:v>
      </x:c>
      <x:c r="V154" s="24" t="str">
        <x:v>Atlas</x:v>
      </x:c>
      <x:c r="W154" s="24" t="str">
        <x:v>6/6 actuelles</x:v>
      </x:c>
      <x:c r="X154" s="24" t="str">
        <x:v>6/6 actuelles</x:v>
      </x:c>
      <x:c r="Y154" s="24" t="str">
        <x:v>Non consignée</x:v>
      </x:c>
      <x:c r="Z154" s="24" t="str">
        <x:v>Périmée (0/6)</x:v>
      </x:c>
      <x:c r="AA154" s="23" t="str">
        <x:v>Accord et publication du lot non consignés.</x:v>
      </x:c>
      <x:c r="AB154" s="21" t="str">
        <x:v>9184f780a23f21687350020fa3448d58e4e0aadd</x:v>
      </x:c>
      <x:c r="AC154" s="21" t="str">
        <x:v>En cours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À planifier</x:v>
      </x:c>
      <x:c r="E155" s="25" t="str">
        <x:v>Personnes</x:v>
      </x:c>
      <x:c r="F155" s="24" t="str">
        <x:f>IF(AND(G155=8,COUNTIF(Q155:V155,"Atlas")=6),"Intégré","À faire")</x:f>
        <x:v>À faire</x:v>
      </x:c>
      <x:c r="G155" s="27" t="n">
        <x:f>COUNTIF(I155:P155,"Présent")</x:f>
        <x:v>0</x:v>
      </x:c>
      <x:c r="H155" s="24" t="str">
        <x:v>À assembler</x:v>
      </x:c>
      <x:c r="I155" s="24" t="str">
        <x:v>Référence</x:v>
      </x:c>
      <x:c r="J155" s="24" t="str">
        <x:v>Manquant</x:v>
      </x:c>
      <x:c r="K155" s="24" t="str">
        <x:v>Manquant</x:v>
      </x:c>
      <x:c r="L155" s="24" t="str">
        <x:v>Manquant</x:v>
      </x:c>
      <x:c r="M155" s="24" t="str">
        <x:v>Manquant</x:v>
      </x:c>
      <x:c r="N155" s="24" t="str">
        <x:v>Manquant</x:v>
      </x:c>
      <x:c r="O155" s="24" t="str">
        <x:v>Manquant</x:v>
      </x:c>
      <x:c r="P155" s="24" t="str">
        <x:v>Manquant</x:v>
      </x:c>
      <x:c r="Q155" s="24" t="str">
        <x:v>Commun</x:v>
      </x:c>
      <x:c r="R155" s="24" t="str">
        <x:v>Commun</x:v>
      </x:c>
      <x:c r="S155" s="24" t="str">
        <x:v>Commun</x:v>
      </x:c>
      <x:c r="T155" s="24" t="str">
        <x:v>Commun</x:v>
      </x:c>
      <x:c r="U155" s="24" t="str">
        <x:v>Commun</x:v>
      </x:c>
      <x:c r="V155" s="24" t="str">
        <x:v>Commun</x:v>
      </x:c>
      <x:c r="W155" s="24" t="str">
        <x:v>Non consignée</x:v>
      </x:c>
      <x:c r="X155" s="24" t="str">
        <x:v>Non consignée</x:v>
      </x:c>
      <x:c r="Y155" s="24" t="str">
        <x:v>Non consignée</x:v>
      </x:c>
      <x:c r="Z155" s="24" t="str">
        <x:v>Périmée (0/6)</x:v>
      </x:c>
      <x:c r="AA155" s="23" t="str">
        <x:v>Compléter le pack ; consigner QA, accord et publication.</x:v>
      </x:c>
      <x:c r="AB155" s="21" t="str">
        <x:v>1a63ecf787bc8d20e322314e1ba17987c83b1198</x:v>
      </x:c>
      <x:c r="AC155" s="21" t="str">
        <x:v>À intégrer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À planifier</x:v>
      </x:c>
      <x:c r="E156" s="25" t="str">
        <x:v>Animaux</x:v>
      </x:c>
      <x:c r="F156" s="24" t="str">
        <x:f>IF(AND(G156=8,COUNTIF(Q156:V156,"Atlas")=6),"Intégré","À faire")</x:f>
        <x:v>À faire</x:v>
      </x:c>
      <x:c r="G156" s="27" t="n">
        <x:f>COUNTIF(I156:P156,"Présent")</x:f>
        <x:v>0</x:v>
      </x:c>
      <x:c r="H156" s="24" t="str">
        <x:v>À assembler</x:v>
      </x:c>
      <x:c r="I156" s="24" t="str">
        <x:v>Référence</x:v>
      </x:c>
      <x:c r="J156" s="24" t="str">
        <x:v>Manquant</x:v>
      </x:c>
      <x:c r="K156" s="24" t="str">
        <x:v>Manquant</x:v>
      </x:c>
      <x:c r="L156" s="24" t="str">
        <x:v>Manquant</x:v>
      </x:c>
      <x:c r="M156" s="24" t="str">
        <x:v>Manquant</x:v>
      </x:c>
      <x:c r="N156" s="24" t="str">
        <x:v>Manquant</x:v>
      </x:c>
      <x:c r="O156" s="24" t="str">
        <x:v>Manquant</x:v>
      </x:c>
      <x:c r="P156" s="24" t="str">
        <x:v>Manquant</x:v>
      </x:c>
      <x:c r="Q156" s="24" t="str">
        <x:v>Commun</x:v>
      </x:c>
      <x:c r="R156" s="24" t="str">
        <x:v>Commun</x:v>
      </x:c>
      <x:c r="S156" s="24" t="str">
        <x:v>Commun</x:v>
      </x:c>
      <x:c r="T156" s="24" t="str">
        <x:v>Commun</x:v>
      </x:c>
      <x:c r="U156" s="24" t="str">
        <x:v>Commun</x:v>
      </x:c>
      <x:c r="V156" s="24" t="str">
        <x:v>Commun</x:v>
      </x:c>
      <x:c r="W156" s="24" t="str">
        <x:v>Non consignée</x:v>
      </x:c>
      <x:c r="X156" s="24" t="str">
        <x:v>Non consignée</x:v>
      </x:c>
      <x:c r="Y156" s="24" t="str">
        <x:v>Non consignée</x:v>
      </x:c>
      <x:c r="Z156" s="24" t="str">
        <x:v>Périmée (0/6)</x:v>
      </x:c>
      <x:c r="AA156" s="23" t="str">
        <x:v>Compléter le pack ; consigner QA, accord et publication.</x:v>
      </x:c>
      <x:c r="AB156" s="21" t="str">
        <x:v>1a63ecf787bc8d20e322314e1ba17987c83b1198</x:v>
      </x:c>
      <x:c r="AC156" s="21" t="str">
        <x:v>À intégrer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À planifier</x:v>
      </x:c>
      <x:c r="E157" s="25" t="str">
        <x:v>Personnes</x:v>
      </x:c>
      <x:c r="F157" s="24" t="str">
        <x:f>IF(AND(G157=8,COUNTIF(Q157:V157,"Atlas")=6),"Intégré","À faire")</x:f>
        <x:v>À faire</x:v>
      </x:c>
      <x:c r="G157" s="27" t="n">
        <x:f>COUNTIF(I157:P157,"Présent")</x:f>
        <x:v>0</x:v>
      </x:c>
      <x:c r="H157" s="24" t="str">
        <x:v>À assembler</x:v>
      </x:c>
      <x:c r="I157" s="24" t="str">
        <x:v>Référence</x:v>
      </x:c>
      <x:c r="J157" s="24" t="str">
        <x:v>Manquant</x:v>
      </x:c>
      <x:c r="K157" s="24" t="str">
        <x:v>Manquant</x:v>
      </x:c>
      <x:c r="L157" s="24" t="str">
        <x:v>Manquant</x:v>
      </x:c>
      <x:c r="M157" s="24" t="str">
        <x:v>Manquant</x:v>
      </x:c>
      <x:c r="N157" s="24" t="str">
        <x:v>Manquant</x:v>
      </x:c>
      <x:c r="O157" s="24" t="str">
        <x:v>Manquant</x:v>
      </x:c>
      <x:c r="P157" s="24" t="str">
        <x:v>Manquant</x:v>
      </x:c>
      <x:c r="Q157" s="24" t="str">
        <x:v>Commun</x:v>
      </x:c>
      <x:c r="R157" s="24" t="str">
        <x:v>Commun</x:v>
      </x:c>
      <x:c r="S157" s="24" t="str">
        <x:v>Commun</x:v>
      </x:c>
      <x:c r="T157" s="24" t="str">
        <x:v>Commun</x:v>
      </x:c>
      <x:c r="U157" s="24" t="str">
        <x:v>Commun</x:v>
      </x:c>
      <x:c r="V157" s="24" t="str">
        <x:v>Commun</x:v>
      </x:c>
      <x:c r="W157" s="24" t="str">
        <x:v>Non consignée</x:v>
      </x:c>
      <x:c r="X157" s="24" t="str">
        <x:v>Non consignée</x:v>
      </x:c>
      <x:c r="Y157" s="24" t="str">
        <x:v>Non consignée</x:v>
      </x:c>
      <x:c r="Z157" s="24" t="str">
        <x:v>Périmée (0/6)</x:v>
      </x:c>
      <x:c r="AA157" s="23" t="str">
        <x:v>Compléter le pack ; consigner QA, accord et publication.</x:v>
      </x:c>
      <x:c r="AB157" s="21" t="str">
        <x:v>1a63ecf787bc8d20e322314e1ba17987c83b1198</x:v>
      </x:c>
      <x:c r="AC157" s="21" t="str">
        <x:v>À intégrer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À planifier</x:v>
      </x:c>
      <x:c r="E158" s="25" t="str">
        <x:v>Personnes</x:v>
      </x:c>
      <x:c r="F158" s="24" t="str">
        <x:f>IF(AND(G158=8,COUNTIF(Q158:V158,"Atlas")=6),"Intégré","À faire")</x:f>
        <x:v>À faire</x:v>
      </x:c>
      <x:c r="G158" s="27" t="n">
        <x:f>COUNTIF(I158:P158,"Présent")</x:f>
        <x:v>0</x:v>
      </x:c>
      <x:c r="H158" s="24" t="str">
        <x:v>À assembler</x:v>
      </x:c>
      <x:c r="I158" s="24" t="str">
        <x:v>Référence</x:v>
      </x:c>
      <x:c r="J158" s="24" t="str">
        <x:v>Manquant</x:v>
      </x:c>
      <x:c r="K158" s="24" t="str">
        <x:v>Manquant</x:v>
      </x:c>
      <x:c r="L158" s="24" t="str">
        <x:v>Manquant</x:v>
      </x:c>
      <x:c r="M158" s="24" t="str">
        <x:v>Manquant</x:v>
      </x:c>
      <x:c r="N158" s="24" t="str">
        <x:v>Manquant</x:v>
      </x:c>
      <x:c r="O158" s="24" t="str">
        <x:v>Manquant</x:v>
      </x:c>
      <x:c r="P158" s="24" t="str">
        <x:v>Manquant</x:v>
      </x:c>
      <x:c r="Q158" s="24" t="str">
        <x:v>Commun</x:v>
      </x:c>
      <x:c r="R158" s="24" t="str">
        <x:v>Commun</x:v>
      </x:c>
      <x:c r="S158" s="24" t="str">
        <x:v>Commun</x:v>
      </x:c>
      <x:c r="T158" s="24" t="str">
        <x:v>Commun</x:v>
      </x:c>
      <x:c r="U158" s="24" t="str">
        <x:v>Commun</x:v>
      </x:c>
      <x:c r="V158" s="24" t="str">
        <x:v>Commun</x:v>
      </x:c>
      <x:c r="W158" s="24" t="str">
        <x:v>Non consignée</x:v>
      </x:c>
      <x:c r="X158" s="24" t="str">
        <x:v>Non consignée</x:v>
      </x:c>
      <x:c r="Y158" s="24" t="str">
        <x:v>Non consignée</x:v>
      </x:c>
      <x:c r="Z158" s="24" t="str">
        <x:v>Périmée (0/6)</x:v>
      </x:c>
      <x:c r="AA158" s="23" t="str">
        <x:v>Compléter le pack ; consigner QA, accord et publication.</x:v>
      </x:c>
      <x:c r="AB158" s="21" t="str">
        <x:v>1a63ecf787bc8d20e322314e1ba17987c83b1198</x:v>
      </x:c>
      <x:c r="AC158" s="21" t="str">
        <x:v>À intégrer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À planifier</x:v>
      </x:c>
      <x:c r="E159" s="25" t="str">
        <x:v>Personnes</x:v>
      </x:c>
      <x:c r="F159" s="24" t="str">
        <x:f>IF(AND(G159=8,COUNTIF(Q159:V159,"Atlas")=6),"Intégré","À faire")</x:f>
        <x:v>À faire</x:v>
      </x:c>
      <x:c r="G159" s="27" t="n">
        <x:f>COUNTIF(I159:P159,"Présent")</x:f>
        <x:v>0</x:v>
      </x:c>
      <x:c r="H159" s="24" t="str">
        <x:v>À assembler</x:v>
      </x:c>
      <x:c r="I159" s="24" t="str">
        <x:v>Référence</x:v>
      </x:c>
      <x:c r="J159" s="24" t="str">
        <x:v>Manquant</x:v>
      </x:c>
      <x:c r="K159" s="24" t="str">
        <x:v>Manquant</x:v>
      </x:c>
      <x:c r="L159" s="24" t="str">
        <x:v>Manquant</x:v>
      </x:c>
      <x:c r="M159" s="24" t="str">
        <x:v>Manquant</x:v>
      </x:c>
      <x:c r="N159" s="24" t="str">
        <x:v>Manquant</x:v>
      </x:c>
      <x:c r="O159" s="24" t="str">
        <x:v>Manquant</x:v>
      </x:c>
      <x:c r="P159" s="24" t="str">
        <x:v>Manquant</x:v>
      </x:c>
      <x:c r="Q159" s="24" t="str">
        <x:v>Commun</x:v>
      </x:c>
      <x:c r="R159" s="24" t="str">
        <x:v>Commun</x:v>
      </x:c>
      <x:c r="S159" s="24" t="str">
        <x:v>Commun</x:v>
      </x:c>
      <x:c r="T159" s="24" t="str">
        <x:v>Commun</x:v>
      </x:c>
      <x:c r="U159" s="24" t="str">
        <x:v>Commun</x:v>
      </x:c>
      <x:c r="V159" s="24" t="str">
        <x:v>Commun</x:v>
      </x:c>
      <x:c r="W159" s="24" t="str">
        <x:v>Non consignée</x:v>
      </x:c>
      <x:c r="X159" s="24" t="str">
        <x:v>Non consignée</x:v>
      </x:c>
      <x:c r="Y159" s="24" t="str">
        <x:v>Non consignée</x:v>
      </x:c>
      <x:c r="Z159" s="24" t="str">
        <x:v>Périmée (0/6)</x:v>
      </x:c>
      <x:c r="AA159" s="23" t="str">
        <x:v>Compléter le pack ; consigner QA, accord et publication.</x:v>
      </x:c>
      <x:c r="AB159" s="21" t="str">
        <x:v>1a63ecf787bc8d20e322314e1ba17987c83b1198</x:v>
      </x:c>
      <x:c r="AC159" s="21" t="str">
        <x:v>À intégrer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À planifier</x:v>
      </x:c>
      <x:c r="E160" s="25" t="str">
        <x:v>Lieux</x:v>
      </x:c>
      <x:c r="F160" s="24" t="str">
        <x:f>IF(AND(G160=8,COUNTIF(Q160:V160,"Atlas")=6),"Intégré","À faire")</x:f>
        <x:v>À faire</x:v>
      </x:c>
      <x:c r="G160" s="27" t="n">
        <x:f>COUNTIF(I160:P160,"Présent")</x:f>
        <x:v>0</x:v>
      </x:c>
      <x:c r="H160" s="24" t="str">
        <x:v>À assembler</x:v>
      </x:c>
      <x:c r="I160" s="24" t="str">
        <x:v>Référence</x:v>
      </x:c>
      <x:c r="J160" s="24" t="str">
        <x:v>Manquant</x:v>
      </x:c>
      <x:c r="K160" s="24" t="str">
        <x:v>Manquant</x:v>
      </x:c>
      <x:c r="L160" s="24" t="str">
        <x:v>Manquant</x:v>
      </x:c>
      <x:c r="M160" s="24" t="str">
        <x:v>Manquant</x:v>
      </x:c>
      <x:c r="N160" s="24" t="str">
        <x:v>Manquant</x:v>
      </x:c>
      <x:c r="O160" s="24" t="str">
        <x:v>Manquant</x:v>
      </x:c>
      <x:c r="P160" s="24" t="str">
        <x:v>Manquant</x:v>
      </x:c>
      <x:c r="Q160" s="24" t="str">
        <x:v>Commun</x:v>
      </x:c>
      <x:c r="R160" s="24" t="str">
        <x:v>Commun</x:v>
      </x:c>
      <x:c r="S160" s="24" t="str">
        <x:v>Commun</x:v>
      </x:c>
      <x:c r="T160" s="24" t="str">
        <x:v>Commun</x:v>
      </x:c>
      <x:c r="U160" s="24" t="str">
        <x:v>Commun</x:v>
      </x:c>
      <x:c r="V160" s="24" t="str">
        <x:v>Commun</x:v>
      </x:c>
      <x:c r="W160" s="24" t="str">
        <x:v>Non consignée</x:v>
      </x:c>
      <x:c r="X160" s="24" t="str">
        <x:v>Non consignée</x:v>
      </x:c>
      <x:c r="Y160" s="24" t="str">
        <x:v>Non consignée</x:v>
      </x:c>
      <x:c r="Z160" s="24" t="str">
        <x:v>Périmée (0/6)</x:v>
      </x:c>
      <x:c r="AA160" s="23" t="str">
        <x:v>Compléter le pack ; consigner QA, accord et publication.</x:v>
      </x:c>
      <x:c r="AB160" s="21" t="str">
        <x:v>1a63ecf787bc8d20e322314e1ba17987c83b1198</x:v>
      </x:c>
      <x:c r="AC160" s="21" t="str">
        <x:v>À intégrer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À planifier</x:v>
      </x:c>
      <x:c r="E161" s="25" t="str">
        <x:v>Animaux</x:v>
      </x:c>
      <x:c r="F161" s="24" t="str">
        <x:f>IF(AND(G161=8,COUNTIF(Q161:V161,"Atlas")=6),"Intégré","À faire")</x:f>
        <x:v>À faire</x:v>
      </x:c>
      <x:c r="G161" s="27" t="n">
        <x:f>COUNTIF(I161:P161,"Présent")</x:f>
        <x:v>0</x:v>
      </x:c>
      <x:c r="H161" s="24" t="str">
        <x:v>À assembler</x:v>
      </x:c>
      <x:c r="I161" s="24" t="str">
        <x:v>Référence</x:v>
      </x:c>
      <x:c r="J161" s="24" t="str">
        <x:v>Manquant</x:v>
      </x:c>
      <x:c r="K161" s="24" t="str">
        <x:v>Manquant</x:v>
      </x:c>
      <x:c r="L161" s="24" t="str">
        <x:v>Manquant</x:v>
      </x:c>
      <x:c r="M161" s="24" t="str">
        <x:v>Manquant</x:v>
      </x:c>
      <x:c r="N161" s="24" t="str">
        <x:v>Manquant</x:v>
      </x:c>
      <x:c r="O161" s="24" t="str">
        <x:v>Manquant</x:v>
      </x:c>
      <x:c r="P161" s="24" t="str">
        <x:v>Manquant</x:v>
      </x:c>
      <x:c r="Q161" s="24" t="str">
        <x:v>Commun</x:v>
      </x:c>
      <x:c r="R161" s="24" t="str">
        <x:v>Commun</x:v>
      </x:c>
      <x:c r="S161" s="24" t="str">
        <x:v>Commun</x:v>
      </x:c>
      <x:c r="T161" s="24" t="str">
        <x:v>Commun</x:v>
      </x:c>
      <x:c r="U161" s="24" t="str">
        <x:v>Commun</x:v>
      </x:c>
      <x:c r="V161" s="24" t="str">
        <x:v>Commun</x:v>
      </x:c>
      <x:c r="W161" s="24" t="str">
        <x:v>Non consignée</x:v>
      </x:c>
      <x:c r="X161" s="24" t="str">
        <x:v>Non consignée</x:v>
      </x:c>
      <x:c r="Y161" s="24" t="str">
        <x:v>Non consignée</x:v>
      </x:c>
      <x:c r="Z161" s="24" t="str">
        <x:v>Périmée (0/6)</x:v>
      </x:c>
      <x:c r="AA161" s="23" t="str">
        <x:v>Compléter le pack ; consigner QA, accord et publication.</x:v>
      </x:c>
      <x:c r="AB161" s="21" t="str">
        <x:v>1a63ecf787bc8d20e322314e1ba17987c83b1198</x:v>
      </x:c>
      <x:c r="AC161" s="21" t="str">
        <x:v>À intégrer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Lot 08</x:v>
      </x:c>
      <x:c r="E162" s="25" t="str">
        <x:v>Corps</x:v>
      </x:c>
      <x:c r="F162" s="24" t="str">
        <x:f>IF(AND(G162=8,COUNTIF(Q162:V162,"Atlas")=6),"Intégré","À faire")</x:f>
        <x:v>Intégré</x:v>
      </x:c>
      <x:c r="G162" s="27" t="n">
        <x:f>COUNTIF(I162:P162,"Présent")</x:f>
        <x:v>8</x:v>
      </x:c>
      <x:c r="H162" s="24" t="str">
        <x:v>Archivé Drive</x:v>
      </x:c>
      <x:c r="I162" s="24" t="str">
        <x:v>Présent</x:v>
      </x:c>
      <x:c r="J162" s="24" t="str">
        <x:v>Présent</x:v>
      </x:c>
      <x:c r="K162" s="24" t="str">
        <x:v>Présent</x:v>
      </x:c>
      <x:c r="L162" s="24" t="str">
        <x:v>Présent</x:v>
      </x:c>
      <x:c r="M162" s="24" t="str">
        <x:v>Présent</x:v>
      </x:c>
      <x:c r="N162" s="24" t="str">
        <x:v>Présent</x:v>
      </x:c>
      <x:c r="O162" s="24" t="str">
        <x:v>Présent</x:v>
      </x:c>
      <x:c r="P162" s="24" t="str">
        <x:v>Présent</x:v>
      </x:c>
      <x:c r="Q162" s="24" t="str">
        <x:v>Atlas</x:v>
      </x:c>
      <x:c r="R162" s="24" t="str">
        <x:v>Atlas</x:v>
      </x:c>
      <x:c r="S162" s="24" t="str">
        <x:v>Atlas</x:v>
      </x:c>
      <x:c r="T162" s="24" t="str">
        <x:v>Atlas</x:v>
      </x:c>
      <x:c r="U162" s="24" t="str">
        <x:v>Atlas</x:v>
      </x:c>
      <x:c r="V162" s="24" t="str">
        <x:v>Atlas</x:v>
      </x:c>
      <x:c r="W162" s="24" t="str">
        <x:v>6/6 actuelles</x:v>
      </x:c>
      <x:c r="X162" s="24" t="str">
        <x:v>6/6 actuelles</x:v>
      </x:c>
      <x:c r="Y162" s="24" t="str">
        <x:v>Non consignée</x:v>
      </x:c>
      <x:c r="Z162" s="24" t="str">
        <x:v>Périmée (0/6)</x:v>
      </x:c>
      <x:c r="AA162" s="23" t="str">
        <x:v>Accord et publication du lot non consignés.</x:v>
      </x:c>
      <x:c r="AB162" s="21" t="str">
        <x:v>9184f780a23f21687350020fa3448d58e4e0aadd</x:v>
      </x:c>
      <x:c r="AC162" s="21" t="str">
        <x:v>En cours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À planifier</x:v>
      </x:c>
      <x:c r="E163" s="25" t="str">
        <x:v>Lieux</x:v>
      </x:c>
      <x:c r="F163" s="24" t="str">
        <x:f>IF(AND(G163=8,COUNTIF(Q163:V163,"Atlas")=6),"Intégré","À faire")</x:f>
        <x:v>À faire</x:v>
      </x:c>
      <x:c r="G163" s="27" t="n">
        <x:f>COUNTIF(I163:P163,"Présent")</x:f>
        <x:v>0</x:v>
      </x:c>
      <x:c r="H163" s="24" t="str">
        <x:v>À assembler</x:v>
      </x:c>
      <x:c r="I163" s="24" t="str">
        <x:v>Référence</x:v>
      </x:c>
      <x:c r="J163" s="24" t="str">
        <x:v>Manquant</x:v>
      </x:c>
      <x:c r="K163" s="24" t="str">
        <x:v>Manquant</x:v>
      </x:c>
      <x:c r="L163" s="24" t="str">
        <x:v>Manquant</x:v>
      </x:c>
      <x:c r="M163" s="24" t="str">
        <x:v>Manquant</x:v>
      </x:c>
      <x:c r="N163" s="24" t="str">
        <x:v>Manquant</x:v>
      </x:c>
      <x:c r="O163" s="24" t="str">
        <x:v>Manquant</x:v>
      </x:c>
      <x:c r="P163" s="24" t="str">
        <x:v>Manquant</x:v>
      </x:c>
      <x:c r="Q163" s="24" t="str">
        <x:v>Commun</x:v>
      </x:c>
      <x:c r="R163" s="24" t="str">
        <x:v>Commun</x:v>
      </x:c>
      <x:c r="S163" s="24" t="str">
        <x:v>Commun</x:v>
      </x:c>
      <x:c r="T163" s="24" t="str">
        <x:v>Commun</x:v>
      </x:c>
      <x:c r="U163" s="24" t="str">
        <x:v>Commun</x:v>
      </x:c>
      <x:c r="V163" s="24" t="str">
        <x:v>Commun</x:v>
      </x:c>
      <x:c r="W163" s="24" t="str">
        <x:v>Non consignée</x:v>
      </x:c>
      <x:c r="X163" s="24" t="str">
        <x:v>Non consignée</x:v>
      </x:c>
      <x:c r="Y163" s="24" t="str">
        <x:v>Non consignée</x:v>
      </x:c>
      <x:c r="Z163" s="24" t="str">
        <x:v>Périmée (0/6)</x:v>
      </x:c>
      <x:c r="AA163" s="23" t="str">
        <x:v>Compléter le pack ; consigner QA, accord et publication.</x:v>
      </x:c>
      <x:c r="AB163" s="21" t="str">
        <x:v>1a63ecf787bc8d20e322314e1ba17987c83b1198</x:v>
      </x:c>
      <x:c r="AC163" s="21" t="str">
        <x:v>À intégrer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À planifier</x:v>
      </x:c>
      <x:c r="E164" s="25" t="str">
        <x:v>Animaux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Commun</x:v>
      </x:c>
      <x:c r="R164" s="24" t="str">
        <x:v>Commun</x:v>
      </x:c>
      <x:c r="S164" s="24" t="str">
        <x:v>Commun</x:v>
      </x:c>
      <x:c r="T164" s="24" t="str">
        <x:v>Commun</x:v>
      </x:c>
      <x:c r="U164" s="24" t="str">
        <x:v>Commun</x:v>
      </x:c>
      <x:c r="V164" s="24" t="str">
        <x:v>Commun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Périmée (0/6)</x:v>
      </x:c>
      <x:c r="AA164" s="23" t="str">
        <x:v>Compléter le pack ; consigner QA, accord et publication.</x:v>
      </x:c>
      <x:c r="AB164" s="21" t="str">
        <x:v>1a63ecf787bc8d20e322314e1ba17987c83b1198</x:v>
      </x:c>
      <x:c r="AC164" s="21" t="str">
        <x:v>À intégrer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À planifier</x:v>
      </x:c>
      <x:c r="E165" s="25" t="str">
        <x:v>Actions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Commun</x:v>
      </x:c>
      <x:c r="R165" s="24" t="str">
        <x:v>Commun</x:v>
      </x:c>
      <x:c r="S165" s="24" t="str">
        <x:v>Commun</x:v>
      </x:c>
      <x:c r="T165" s="24" t="str">
        <x:v>Commun</x:v>
      </x:c>
      <x:c r="U165" s="24" t="str">
        <x:v>Commun</x:v>
      </x:c>
      <x:c r="V165" s="24" t="str">
        <x:v>Commun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Périmée (0/6)</x:v>
      </x:c>
      <x:c r="AA165" s="23" t="str">
        <x:v>Compléter le pack ; consigner QA, accord et publication.</x:v>
      </x:c>
      <x:c r="AB165" s="21" t="str">
        <x:v>1a63ecf787bc8d20e322314e1ba17987c83b1198</x:v>
      </x:c>
      <x:c r="AC165" s="21" t="str">
        <x:v>À intégrer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À planifier</x:v>
      </x:c>
      <x:c r="E166" s="25" t="str">
        <x:v>Animaux</x:v>
      </x:c>
      <x:c r="F166" s="24" t="str">
        <x:f>IF(AND(G166=8,COUNTIF(Q166:V166,"Atlas")=6),"Intégré","À faire")</x:f>
        <x:v>À faire</x:v>
      </x:c>
      <x:c r="G166" s="27" t="n">
        <x:f>COUNTIF(I166:P166,"Présent")</x:f>
        <x:v>0</x:v>
      </x:c>
      <x:c r="H166" s="24" t="str">
        <x:v>À assembler</x:v>
      </x:c>
      <x:c r="I166" s="24" t="str">
        <x:v>Référence</x:v>
      </x:c>
      <x:c r="J166" s="24" t="str">
        <x:v>Manquant</x:v>
      </x:c>
      <x:c r="K166" s="24" t="str">
        <x:v>Manquant</x:v>
      </x:c>
      <x:c r="L166" s="24" t="str">
        <x:v>Manquant</x:v>
      </x:c>
      <x:c r="M166" s="24" t="str">
        <x:v>Manquant</x:v>
      </x:c>
      <x:c r="N166" s="24" t="str">
        <x:v>Manquant</x:v>
      </x:c>
      <x:c r="O166" s="24" t="str">
        <x:v>Manquant</x:v>
      </x:c>
      <x:c r="P166" s="24" t="str">
        <x:v>Manquant</x:v>
      </x:c>
      <x:c r="Q166" s="24" t="str">
        <x:v>Commun</x:v>
      </x:c>
      <x:c r="R166" s="24" t="str">
        <x:v>Commun</x:v>
      </x:c>
      <x:c r="S166" s="24" t="str">
        <x:v>Commun</x:v>
      </x:c>
      <x:c r="T166" s="24" t="str">
        <x:v>Commun</x:v>
      </x:c>
      <x:c r="U166" s="24" t="str">
        <x:v>Commun</x:v>
      </x:c>
      <x:c r="V166" s="24" t="str">
        <x:v>Commun</x:v>
      </x:c>
      <x:c r="W166" s="24" t="str">
        <x:v>Non consignée</x:v>
      </x:c>
      <x:c r="X166" s="24" t="str">
        <x:v>Non consignée</x:v>
      </x:c>
      <x:c r="Y166" s="24" t="str">
        <x:v>Non consignée</x:v>
      </x:c>
      <x:c r="Z166" s="24" t="str">
        <x:v>Périmée (0/6)</x:v>
      </x:c>
      <x:c r="AA166" s="23" t="str">
        <x:v>Compléter le pack ; consigner QA, accord et publication.</x:v>
      </x:c>
      <x:c r="AB166" s="21" t="str">
        <x:v>1a63ecf787bc8d20e322314e1ba17987c83b1198</x:v>
      </x:c>
      <x:c r="AC166" s="21" t="str">
        <x:v>À intégrer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Lot 08</x:v>
      </x:c>
      <x:c r="E167" s="25" t="str">
        <x:v>Lieux</x:v>
      </x:c>
      <x:c r="F167" s="24" t="str">
        <x:f>IF(AND(G167=8,COUNTIF(Q167:V167,"Atlas")=6),"Intégré","À faire")</x:f>
        <x:v>Intégré</x:v>
      </x:c>
      <x:c r="G167" s="27" t="n">
        <x:f>COUNTIF(I167:P167,"Présent")</x:f>
        <x:v>8</x:v>
      </x:c>
      <x:c r="H167" s="24" t="str">
        <x:v>Archivé Drive</x:v>
      </x:c>
      <x:c r="I167" s="24" t="str">
        <x:v>Présent</x:v>
      </x:c>
      <x:c r="J167" s="24" t="str">
        <x:v>Présent</x:v>
      </x:c>
      <x:c r="K167" s="24" t="str">
        <x:v>Présent</x:v>
      </x:c>
      <x:c r="L167" s="24" t="str">
        <x:v>Présent</x:v>
      </x:c>
      <x:c r="M167" s="24" t="str">
        <x:v>Présent</x:v>
      </x:c>
      <x:c r="N167" s="24" t="str">
        <x:v>Présent</x:v>
      </x:c>
      <x:c r="O167" s="24" t="str">
        <x:v>Présent</x:v>
      </x:c>
      <x:c r="P167" s="24" t="str">
        <x:v>Présent</x:v>
      </x:c>
      <x:c r="Q167" s="24" t="str">
        <x:v>Atlas</x:v>
      </x:c>
      <x:c r="R167" s="24" t="str">
        <x:v>Atlas</x:v>
      </x:c>
      <x:c r="S167" s="24" t="str">
        <x:v>Atlas</x:v>
      </x:c>
      <x:c r="T167" s="24" t="str">
        <x:v>Atlas</x:v>
      </x:c>
      <x:c r="U167" s="24" t="str">
        <x:v>Atlas</x:v>
      </x:c>
      <x:c r="V167" s="24" t="str">
        <x:v>Atlas</x:v>
      </x:c>
      <x:c r="W167" s="24" t="str">
        <x:v>6/6 actuelles</x:v>
      </x:c>
      <x:c r="X167" s="24" t="str">
        <x:v>6/6 actuelles</x:v>
      </x:c>
      <x:c r="Y167" s="24" t="str">
        <x:v>Non consignée</x:v>
      </x:c>
      <x:c r="Z167" s="24" t="str">
        <x:v>Périmée (0/6)</x:v>
      </x:c>
      <x:c r="AA167" s="23" t="str">
        <x:v>Accord et publication du lot non consignés.</x:v>
      </x:c>
      <x:c r="AB167" s="21" t="str">
        <x:v>9184f780a23f21687350020fa3448d58e4e0aadd</x:v>
      </x:c>
      <x:c r="AC167" s="21" t="str">
        <x:v>En cours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À planifier</x:v>
      </x:c>
      <x:c r="E168" s="25" t="str">
        <x:v>Lieux</x:v>
      </x:c>
      <x:c r="F168" s="24" t="str">
        <x:f>IF(AND(G168=8,COUNTIF(Q168:V168,"Atlas")=6),"Intégré","À faire")</x:f>
        <x:v>À faire</x:v>
      </x:c>
      <x:c r="G168" s="27" t="n">
        <x:f>COUNTIF(I168:P168,"Présent")</x:f>
        <x:v>0</x:v>
      </x:c>
      <x:c r="H168" s="24" t="str">
        <x:v>À assembler</x:v>
      </x:c>
      <x:c r="I168" s="24" t="str">
        <x:v>Référence</x:v>
      </x:c>
      <x:c r="J168" s="24" t="str">
        <x:v>Manquant</x:v>
      </x:c>
      <x:c r="K168" s="24" t="str">
        <x:v>Manquant</x:v>
      </x:c>
      <x:c r="L168" s="24" t="str">
        <x:v>Manquant</x:v>
      </x:c>
      <x:c r="M168" s="24" t="str">
        <x:v>Manquant</x:v>
      </x:c>
      <x:c r="N168" s="24" t="str">
        <x:v>Manquant</x:v>
      </x:c>
      <x:c r="O168" s="24" t="str">
        <x:v>Manquant</x:v>
      </x:c>
      <x:c r="P168" s="24" t="str">
        <x:v>Manquant</x:v>
      </x:c>
      <x:c r="Q168" s="24" t="str">
        <x:v>Commun</x:v>
      </x:c>
      <x:c r="R168" s="24" t="str">
        <x:v>Commun</x:v>
      </x:c>
      <x:c r="S168" s="24" t="str">
        <x:v>Commun</x:v>
      </x:c>
      <x:c r="T168" s="24" t="str">
        <x:v>Commun</x:v>
      </x:c>
      <x:c r="U168" s="24" t="str">
        <x:v>Commun</x:v>
      </x:c>
      <x:c r="V168" s="24" t="str">
        <x:v>Commun</x:v>
      </x:c>
      <x:c r="W168" s="24" t="str">
        <x:v>Non consignée</x:v>
      </x:c>
      <x:c r="X168" s="24" t="str">
        <x:v>Non consignée</x:v>
      </x:c>
      <x:c r="Y168" s="24" t="str">
        <x:v>Non consignée</x:v>
      </x:c>
      <x:c r="Z168" s="24" t="str">
        <x:v>Périmée (0/6)</x:v>
      </x:c>
      <x:c r="AA168" s="23" t="str">
        <x:v>Compléter le pack ; consigner QA, accord et publication.</x:v>
      </x:c>
      <x:c r="AB168" s="21" t="str">
        <x:v>1a63ecf787bc8d20e322314e1ba17987c83b1198</x:v>
      </x:c>
      <x:c r="AC168" s="21" t="str">
        <x:v>À intégrer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À planifier</x:v>
      </x:c>
      <x:c r="E169" s="25" t="str">
        <x:v>Lieux</x:v>
      </x:c>
      <x:c r="F169" s="24" t="str">
        <x:f>IF(AND(G169=8,COUNTIF(Q169:V169,"Atlas")=6),"Intégré","À faire")</x:f>
        <x:v>À faire</x:v>
      </x:c>
      <x:c r="G169" s="27" t="n">
        <x:f>COUNTIF(I169:P169,"Présent")</x:f>
        <x:v>0</x:v>
      </x:c>
      <x:c r="H169" s="24" t="str">
        <x:v>À assembler</x:v>
      </x:c>
      <x:c r="I169" s="24" t="str">
        <x:v>Référence</x:v>
      </x:c>
      <x:c r="J169" s="24" t="str">
        <x:v>Manquant</x:v>
      </x:c>
      <x:c r="K169" s="24" t="str">
        <x:v>Manquant</x:v>
      </x:c>
      <x:c r="L169" s="24" t="str">
        <x:v>Manquant</x:v>
      </x:c>
      <x:c r="M169" s="24" t="str">
        <x:v>Manquant</x:v>
      </x:c>
      <x:c r="N169" s="24" t="str">
        <x:v>Manquant</x:v>
      </x:c>
      <x:c r="O169" s="24" t="str">
        <x:v>Manquant</x:v>
      </x:c>
      <x:c r="P169" s="24" t="str">
        <x:v>Manquant</x:v>
      </x:c>
      <x:c r="Q169" s="24" t="str">
        <x:v>Commun</x:v>
      </x:c>
      <x:c r="R169" s="24" t="str">
        <x:v>Commun</x:v>
      </x:c>
      <x:c r="S169" s="24" t="str">
        <x:v>Commun</x:v>
      </x:c>
      <x:c r="T169" s="24" t="str">
        <x:v>Commun</x:v>
      </x:c>
      <x:c r="U169" s="24" t="str">
        <x:v>Commun</x:v>
      </x:c>
      <x:c r="V169" s="24" t="str">
        <x:v>Commun</x:v>
      </x:c>
      <x:c r="W169" s="24" t="str">
        <x:v>Non consignée</x:v>
      </x:c>
      <x:c r="X169" s="24" t="str">
        <x:v>Non consignée</x:v>
      </x:c>
      <x:c r="Y169" s="24" t="str">
        <x:v>Non consignée</x:v>
      </x:c>
      <x:c r="Z169" s="24" t="str">
        <x:v>Périmée (0/6)</x:v>
      </x:c>
      <x:c r="AA169" s="23" t="str">
        <x:v>Compléter le pack ; consigner QA, accord et publication.</x:v>
      </x:c>
      <x:c r="AB169" s="21" t="str">
        <x:v>1a63ecf787bc8d20e322314e1ba17987c83b1198</x:v>
      </x:c>
      <x:c r="AC169" s="21" t="str">
        <x:v>À intégrer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À planifier</x:v>
      </x:c>
      <x:c r="E170" s="25" t="str">
        <x:v>Actions</x:v>
      </x:c>
      <x:c r="F170" s="24" t="str">
        <x:f>IF(AND(G170=8,COUNTIF(Q170:V170,"Atlas")=6),"Intégré","À faire")</x:f>
        <x:v>À faire</x:v>
      </x:c>
      <x:c r="G170" s="27" t="n">
        <x:f>COUNTIF(I170:P170,"Présent")</x:f>
        <x:v>0</x:v>
      </x:c>
      <x:c r="H170" s="24" t="str">
        <x:v>À assembler</x:v>
      </x:c>
      <x:c r="I170" s="24" t="str">
        <x:v>Référence</x:v>
      </x:c>
      <x:c r="J170" s="24" t="str">
        <x:v>Manquant</x:v>
      </x:c>
      <x:c r="K170" s="24" t="str">
        <x:v>Manquant</x:v>
      </x:c>
      <x:c r="L170" s="24" t="str">
        <x:v>Manquant</x:v>
      </x:c>
      <x:c r="M170" s="24" t="str">
        <x:v>Manquant</x:v>
      </x:c>
      <x:c r="N170" s="24" t="str">
        <x:v>Manquant</x:v>
      </x:c>
      <x:c r="O170" s="24" t="str">
        <x:v>Manquant</x:v>
      </x:c>
      <x:c r="P170" s="24" t="str">
        <x:v>Manquant</x:v>
      </x:c>
      <x:c r="Q170" s="24" t="str">
        <x:v>Commun</x:v>
      </x:c>
      <x:c r="R170" s="24" t="str">
        <x:v>Commun</x:v>
      </x:c>
      <x:c r="S170" s="24" t="str">
        <x:v>Commun</x:v>
      </x:c>
      <x:c r="T170" s="24" t="str">
        <x:v>Commun</x:v>
      </x:c>
      <x:c r="U170" s="24" t="str">
        <x:v>Commun</x:v>
      </x:c>
      <x:c r="V170" s="24" t="str">
        <x:v>Commun</x:v>
      </x:c>
      <x:c r="W170" s="24" t="str">
        <x:v>Non consignée</x:v>
      </x:c>
      <x:c r="X170" s="24" t="str">
        <x:v>Non consignée</x:v>
      </x:c>
      <x:c r="Y170" s="24" t="str">
        <x:v>Non consignée</x:v>
      </x:c>
      <x:c r="Z170" s="24" t="str">
        <x:v>Périmée (0/6)</x:v>
      </x:c>
      <x:c r="AA170" s="23" t="str">
        <x:v>Compléter le pack ; consigner QA, accord et publication.</x:v>
      </x:c>
      <x:c r="AB170" s="21" t="str">
        <x:v>1a63ecf787bc8d20e322314e1ba17987c83b1198</x:v>
      </x:c>
      <x:c r="AC170" s="21" t="str">
        <x:v>À intégrer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À planifier</x:v>
      </x:c>
      <x:c r="E171" s="25" t="str">
        <x:v>Personnes</x:v>
      </x:c>
      <x:c r="F171" s="24" t="str">
        <x:f>IF(AND(G171=8,COUNTIF(Q171:V171,"Atlas")=6),"Intégré","À faire")</x:f>
        <x:v>À faire</x:v>
      </x:c>
      <x:c r="G171" s="27" t="n">
        <x:f>COUNTIF(I171:P171,"Présent")</x:f>
        <x:v>0</x:v>
      </x:c>
      <x:c r="H171" s="24" t="str">
        <x:v>À assembler</x:v>
      </x:c>
      <x:c r="I171" s="24" t="str">
        <x:v>Référence</x:v>
      </x:c>
      <x:c r="J171" s="24" t="str">
        <x:v>Manquant</x:v>
      </x:c>
      <x:c r="K171" s="24" t="str">
        <x:v>Manquant</x:v>
      </x:c>
      <x:c r="L171" s="24" t="str">
        <x:v>Manquant</x:v>
      </x:c>
      <x:c r="M171" s="24" t="str">
        <x:v>Manquant</x:v>
      </x:c>
      <x:c r="N171" s="24" t="str">
        <x:v>Manquant</x:v>
      </x:c>
      <x:c r="O171" s="24" t="str">
        <x:v>Manquant</x:v>
      </x:c>
      <x:c r="P171" s="24" t="str">
        <x:v>Manquant</x:v>
      </x:c>
      <x:c r="Q171" s="24" t="str">
        <x:v>Commun</x:v>
      </x:c>
      <x:c r="R171" s="24" t="str">
        <x:v>Commun</x:v>
      </x:c>
      <x:c r="S171" s="24" t="str">
        <x:v>Commun</x:v>
      </x:c>
      <x:c r="T171" s="24" t="str">
        <x:v>Commun</x:v>
      </x:c>
      <x:c r="U171" s="24" t="str">
        <x:v>Commun</x:v>
      </x:c>
      <x:c r="V171" s="24" t="str">
        <x:v>Commun</x:v>
      </x:c>
      <x:c r="W171" s="24" t="str">
        <x:v>Non consignée</x:v>
      </x:c>
      <x:c r="X171" s="24" t="str">
        <x:v>Non consignée</x:v>
      </x:c>
      <x:c r="Y171" s="24" t="str">
        <x:v>Non consignée</x:v>
      </x:c>
      <x:c r="Z171" s="24" t="str">
        <x:v>Périmée (0/6)</x:v>
      </x:c>
      <x:c r="AA171" s="23" t="str">
        <x:v>Compléter le pack ; consigner QA, accord et publication.</x:v>
      </x:c>
      <x:c r="AB171" s="21" t="str">
        <x:v>1a63ecf787bc8d20e322314e1ba17987c83b1198</x:v>
      </x:c>
      <x:c r="AC171" s="21" t="str">
        <x:v>À intégrer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À planifier</x:v>
      </x:c>
      <x:c r="E172" s="25" t="str">
        <x:v>Actions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Commun</x:v>
      </x:c>
      <x:c r="R172" s="24" t="str">
        <x:v>Commun</x:v>
      </x:c>
      <x:c r="S172" s="24" t="str">
        <x:v>Commun</x:v>
      </x:c>
      <x:c r="T172" s="24" t="str">
        <x:v>Commun</x:v>
      </x:c>
      <x:c r="U172" s="24" t="str">
        <x:v>Commun</x:v>
      </x:c>
      <x:c r="V172" s="24" t="str">
        <x:v>Commun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Périmée (0/6)</x:v>
      </x:c>
      <x:c r="AA172" s="23" t="str">
        <x:v>Compléter le pack ; consigner QA, accord et publication.</x:v>
      </x:c>
      <x:c r="AB172" s="21" t="str">
        <x:v>1a63ecf787bc8d20e322314e1ba17987c83b1198</x:v>
      </x:c>
      <x:c r="AC172" s="21" t="str">
        <x:v>À intégrer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Lot 08</x:v>
      </x:c>
      <x:c r="E173" s="25" t="str">
        <x:v>Nature</x:v>
      </x:c>
      <x:c r="F173" s="24" t="str">
        <x:f>IF(AND(G173=8,COUNTIF(Q173:V173,"Atlas")=6),"Intégré","À faire")</x:f>
        <x:v>Intégré</x:v>
      </x:c>
      <x:c r="G173" s="27" t="n">
        <x:f>COUNTIF(I173:P173,"Présent")</x:f>
        <x:v>8</x:v>
      </x:c>
      <x:c r="H173" s="24" t="str">
        <x:v>Archivé Drive</x:v>
      </x:c>
      <x:c r="I173" s="24" t="str">
        <x:v>Présent</x:v>
      </x:c>
      <x:c r="J173" s="24" t="str">
        <x:v>Présent</x:v>
      </x:c>
      <x:c r="K173" s="24" t="str">
        <x:v>Présent</x:v>
      </x:c>
      <x:c r="L173" s="24" t="str">
        <x:v>Présent</x:v>
      </x:c>
      <x:c r="M173" s="24" t="str">
        <x:v>Présent</x:v>
      </x:c>
      <x:c r="N173" s="24" t="str">
        <x:v>Présent</x:v>
      </x:c>
      <x:c r="O173" s="24" t="str">
        <x:v>Présent</x:v>
      </x:c>
      <x:c r="P173" s="24" t="str">
        <x:v>Présent</x:v>
      </x:c>
      <x:c r="Q173" s="24" t="str">
        <x:v>Atlas</x:v>
      </x:c>
      <x:c r="R173" s="24" t="str">
        <x:v>Atlas</x:v>
      </x:c>
      <x:c r="S173" s="24" t="str">
        <x:v>Atlas</x:v>
      </x:c>
      <x:c r="T173" s="24" t="str">
        <x:v>Atlas</x:v>
      </x:c>
      <x:c r="U173" s="24" t="str">
        <x:v>Atlas</x:v>
      </x:c>
      <x:c r="V173" s="24" t="str">
        <x:v>Atlas</x:v>
      </x:c>
      <x:c r="W173" s="24" t="str">
        <x:v>6/6 actuelles</x:v>
      </x:c>
      <x:c r="X173" s="24" t="str">
        <x:v>6/6 actuelles</x:v>
      </x:c>
      <x:c r="Y173" s="24" t="str">
        <x:v>Non consignée</x:v>
      </x:c>
      <x:c r="Z173" s="24" t="str">
        <x:v>Périmée (0/6)</x:v>
      </x:c>
      <x:c r="AA173" s="23" t="str">
        <x:v>Accord et publication du lot non consignés.</x:v>
      </x:c>
      <x:c r="AB173" s="21" t="str">
        <x:v>9184f780a23f21687350020fa3448d58e4e0aadd</x:v>
      </x:c>
      <x:c r="AC173" s="21" t="str">
        <x:v>En cours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À planifier</x:v>
      </x:c>
      <x:c r="E174" s="25" t="str">
        <x:v>Lieux</x:v>
      </x:c>
      <x:c r="F174" s="24" t="str">
        <x:f>IF(AND(G174=8,COUNTIF(Q174:V174,"Atlas")=6),"Intégré","À faire")</x:f>
        <x:v>À faire</x:v>
      </x:c>
      <x:c r="G174" s="27" t="n">
        <x:f>COUNTIF(I174:P174,"Présent")</x:f>
        <x:v>0</x:v>
      </x:c>
      <x:c r="H174" s="24" t="str">
        <x:v>À assembler</x:v>
      </x:c>
      <x:c r="I174" s="24" t="str">
        <x:v>Référence</x:v>
      </x:c>
      <x:c r="J174" s="24" t="str">
        <x:v>Manquant</x:v>
      </x:c>
      <x:c r="K174" s="24" t="str">
        <x:v>Manquant</x:v>
      </x:c>
      <x:c r="L174" s="24" t="str">
        <x:v>Manquant</x:v>
      </x:c>
      <x:c r="M174" s="24" t="str">
        <x:v>Manquant</x:v>
      </x:c>
      <x:c r="N174" s="24" t="str">
        <x:v>Manquant</x:v>
      </x:c>
      <x:c r="O174" s="24" t="str">
        <x:v>Manquant</x:v>
      </x:c>
      <x:c r="P174" s="24" t="str">
        <x:v>Manquant</x:v>
      </x:c>
      <x:c r="Q174" s="24" t="str">
        <x:v>Commun</x:v>
      </x:c>
      <x:c r="R174" s="24" t="str">
        <x:v>Commun</x:v>
      </x:c>
      <x:c r="S174" s="24" t="str">
        <x:v>Commun</x:v>
      </x:c>
      <x:c r="T174" s="24" t="str">
        <x:v>Commun</x:v>
      </x:c>
      <x:c r="U174" s="24" t="str">
        <x:v>Commun</x:v>
      </x:c>
      <x:c r="V174" s="24" t="str">
        <x:v>Commun</x:v>
      </x:c>
      <x:c r="W174" s="24" t="str">
        <x:v>Non consignée</x:v>
      </x:c>
      <x:c r="X174" s="24" t="str">
        <x:v>Non consignée</x:v>
      </x:c>
      <x:c r="Y174" s="24" t="str">
        <x:v>Non consignée</x:v>
      </x:c>
      <x:c r="Z174" s="24" t="str">
        <x:v>Périmée (0/6)</x:v>
      </x:c>
      <x:c r="AA174" s="23" t="str">
        <x:v>Compléter le pack ; consigner QA, accord et publication.</x:v>
      </x:c>
      <x:c r="AB174" s="21" t="str">
        <x:v>1a63ecf787bc8d20e322314e1ba17987c83b1198</x:v>
      </x:c>
      <x:c r="AC174" s="21" t="str">
        <x:v>À intégrer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À planifier</x:v>
      </x:c>
      <x:c r="E175" s="25" t="str">
        <x:v>Nature</x:v>
      </x:c>
      <x:c r="F175" s="24" t="str">
        <x:f>IF(AND(G175=8,COUNTIF(Q175:V175,"Atlas")=6),"Intégré","À faire")</x:f>
        <x:v>À faire</x:v>
      </x:c>
      <x:c r="G175" s="27" t="n">
        <x:f>COUNTIF(I175:P175,"Présent")</x:f>
        <x:v>0</x:v>
      </x:c>
      <x:c r="H175" s="24" t="str">
        <x:v>À assembler</x:v>
      </x:c>
      <x:c r="I175" s="24" t="str">
        <x:v>Référence</x:v>
      </x:c>
      <x:c r="J175" s="24" t="str">
        <x:v>Manquant</x:v>
      </x:c>
      <x:c r="K175" s="24" t="str">
        <x:v>Manquant</x:v>
      </x:c>
      <x:c r="L175" s="24" t="str">
        <x:v>Manquant</x:v>
      </x:c>
      <x:c r="M175" s="24" t="str">
        <x:v>Manquant</x:v>
      </x:c>
      <x:c r="N175" s="24" t="str">
        <x:v>Manquant</x:v>
      </x:c>
      <x:c r="O175" s="24" t="str">
        <x:v>Manquant</x:v>
      </x:c>
      <x:c r="P175" s="24" t="str">
        <x:v>Manquant</x:v>
      </x:c>
      <x:c r="Q175" s="24" t="str">
        <x:v>Commun</x:v>
      </x:c>
      <x:c r="R175" s="24" t="str">
        <x:v>Commun</x:v>
      </x:c>
      <x:c r="S175" s="24" t="str">
        <x:v>Commun</x:v>
      </x:c>
      <x:c r="T175" s="24" t="str">
        <x:v>Commun</x:v>
      </x:c>
      <x:c r="U175" s="24" t="str">
        <x:v>Commun</x:v>
      </x:c>
      <x:c r="V175" s="24" t="str">
        <x:v>Commun</x:v>
      </x:c>
      <x:c r="W175" s="24" t="str">
        <x:v>Non consignée</x:v>
      </x:c>
      <x:c r="X175" s="24" t="str">
        <x:v>Non consignée</x:v>
      </x:c>
      <x:c r="Y175" s="24" t="str">
        <x:v>Non consignée</x:v>
      </x:c>
      <x:c r="Z175" s="24" t="str">
        <x:v>Périmée (0/6)</x:v>
      </x:c>
      <x:c r="AA175" s="23" t="str">
        <x:v>Compléter le pack ; consigner QA, accord et publication.</x:v>
      </x:c>
      <x:c r="AB175" s="21" t="str">
        <x:v>1a63ecf787bc8d20e322314e1ba17987c83b1198</x:v>
      </x:c>
      <x:c r="AC175" s="21" t="str">
        <x:v>À intégrer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À planifier</x:v>
      </x:c>
      <x:c r="E176" s="25" t="str">
        <x:v>Animaux</x:v>
      </x:c>
      <x:c r="F176" s="24" t="str">
        <x:f>IF(AND(G176=8,COUNTIF(Q176:V176,"Atlas")=6),"Intégré","À faire")</x:f>
        <x:v>À faire</x:v>
      </x:c>
      <x:c r="G176" s="27" t="n">
        <x:f>COUNTIF(I176:P176,"Présent")</x:f>
        <x:v>0</x:v>
      </x:c>
      <x:c r="H176" s="24" t="str">
        <x:v>À assembler</x:v>
      </x:c>
      <x:c r="I176" s="24" t="str">
        <x:v>Référence</x:v>
      </x:c>
      <x:c r="J176" s="24" t="str">
        <x:v>Manquant</x:v>
      </x:c>
      <x:c r="K176" s="24" t="str">
        <x:v>Manquant</x:v>
      </x:c>
      <x:c r="L176" s="24" t="str">
        <x:v>Manquant</x:v>
      </x:c>
      <x:c r="M176" s="24" t="str">
        <x:v>Manquant</x:v>
      </x:c>
      <x:c r="N176" s="24" t="str">
        <x:v>Manquant</x:v>
      </x:c>
      <x:c r="O176" s="24" t="str">
        <x:v>Manquant</x:v>
      </x:c>
      <x:c r="P176" s="24" t="str">
        <x:v>Manquant</x:v>
      </x:c>
      <x:c r="Q176" s="24" t="str">
        <x:v>Commun</x:v>
      </x:c>
      <x:c r="R176" s="24" t="str">
        <x:v>Commun</x:v>
      </x:c>
      <x:c r="S176" s="24" t="str">
        <x:v>Commun</x:v>
      </x:c>
      <x:c r="T176" s="24" t="str">
        <x:v>Commun</x:v>
      </x:c>
      <x:c r="U176" s="24" t="str">
        <x:v>Commun</x:v>
      </x:c>
      <x:c r="V176" s="24" t="str">
        <x:v>Commun</x:v>
      </x:c>
      <x:c r="W176" s="24" t="str">
        <x:v>Non consignée</x:v>
      </x:c>
      <x:c r="X176" s="24" t="str">
        <x:v>Non consignée</x:v>
      </x:c>
      <x:c r="Y176" s="24" t="str">
        <x:v>Non consignée</x:v>
      </x:c>
      <x:c r="Z176" s="24" t="str">
        <x:v>Périmée (0/6)</x:v>
      </x:c>
      <x:c r="AA176" s="23" t="str">
        <x:v>Compléter le pack ; consigner QA, accord et publication.</x:v>
      </x:c>
      <x:c r="AB176" s="21" t="str">
        <x:v>1a63ecf787bc8d20e322314e1ba17987c83b1198</x:v>
      </x:c>
      <x:c r="AC176" s="21" t="str">
        <x:v>À intégrer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À planifier</x:v>
      </x:c>
      <x:c r="E177" s="25" t="str">
        <x:v>Objets</x:v>
      </x:c>
      <x:c r="F177" s="24" t="str">
        <x:f>IF(AND(G177=8,COUNTIF(Q177:V177,"Atlas")=6),"Intégré","À faire")</x:f>
        <x:v>À faire</x:v>
      </x:c>
      <x:c r="G177" s="27" t="n">
        <x:f>COUNTIF(I177:P177,"Présent")</x:f>
        <x:v>0</x:v>
      </x:c>
      <x:c r="H177" s="24" t="str">
        <x:v>À assembler</x:v>
      </x:c>
      <x:c r="I177" s="24" t="str">
        <x:v>Référence</x:v>
      </x:c>
      <x:c r="J177" s="24" t="str">
        <x:v>Manquant</x:v>
      </x:c>
      <x:c r="K177" s="24" t="str">
        <x:v>Manquant</x:v>
      </x:c>
      <x:c r="L177" s="24" t="str">
        <x:v>Manquant</x:v>
      </x:c>
      <x:c r="M177" s="24" t="str">
        <x:v>Manquant</x:v>
      </x:c>
      <x:c r="N177" s="24" t="str">
        <x:v>Manquant</x:v>
      </x:c>
      <x:c r="O177" s="24" t="str">
        <x:v>Manquant</x:v>
      </x:c>
      <x:c r="P177" s="24" t="str">
        <x:v>Manquant</x:v>
      </x:c>
      <x:c r="Q177" s="24" t="str">
        <x:v>Commun</x:v>
      </x:c>
      <x:c r="R177" s="24" t="str">
        <x:v>Commun</x:v>
      </x:c>
      <x:c r="S177" s="24" t="str">
        <x:v>Commun</x:v>
      </x:c>
      <x:c r="T177" s="24" t="str">
        <x:v>Commun</x:v>
      </x:c>
      <x:c r="U177" s="24" t="str">
        <x:v>Commun</x:v>
      </x:c>
      <x:c r="V177" s="24" t="str">
        <x:v>Commun</x:v>
      </x:c>
      <x:c r="W177" s="24" t="str">
        <x:v>Non consignée</x:v>
      </x:c>
      <x:c r="X177" s="24" t="str">
        <x:v>Non consignée</x:v>
      </x:c>
      <x:c r="Y177" s="24" t="str">
        <x:v>Non consignée</x:v>
      </x:c>
      <x:c r="Z177" s="24" t="str">
        <x:v>Périmée (0/6)</x:v>
      </x:c>
      <x:c r="AA177" s="23" t="str">
        <x:v>Compléter le pack ; consigner QA, accord et publication.</x:v>
      </x:c>
      <x:c r="AB177" s="21" t="str">
        <x:v>1a63ecf787bc8d20e322314e1ba17987c83b1198</x:v>
      </x:c>
      <x:c r="AC177" s="21" t="str">
        <x:v>À intégrer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À planifier</x:v>
      </x:c>
      <x:c r="E178" s="25" t="str">
        <x:v>Animaux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Commun</x:v>
      </x:c>
      <x:c r="R178" s="24" t="str">
        <x:v>Commun</x:v>
      </x:c>
      <x:c r="S178" s="24" t="str">
        <x:v>Commun</x:v>
      </x:c>
      <x:c r="T178" s="24" t="str">
        <x:v>Commun</x:v>
      </x:c>
      <x:c r="U178" s="24" t="str">
        <x:v>Commun</x:v>
      </x:c>
      <x:c r="V178" s="24" t="str">
        <x:v>Commun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Périmée (0/6)</x:v>
      </x:c>
      <x:c r="AA178" s="23" t="str">
        <x:v>Compléter le pack ; consigner QA, accord et publication.</x:v>
      </x:c>
      <x:c r="AB178" s="21" t="str">
        <x:v>1a63ecf787bc8d20e322314e1ba17987c83b1198</x:v>
      </x:c>
      <x:c r="AC178" s="21" t="str">
        <x:v>À intégrer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À planifier</x:v>
      </x:c>
      <x:c r="E179" s="25" t="str">
        <x:v>Lieux</x:v>
      </x:c>
      <x:c r="F179" s="24" t="str">
        <x:f>IF(AND(G179=8,COUNTIF(Q179:V179,"Atlas")=6),"Intégré","À faire")</x:f>
        <x:v>À faire</x:v>
      </x:c>
      <x:c r="G179" s="27" t="n">
        <x:f>COUNTIF(I179:P179,"Présent")</x:f>
        <x:v>0</x:v>
      </x:c>
      <x:c r="H179" s="24" t="str">
        <x:v>À assembler</x:v>
      </x:c>
      <x:c r="I179" s="24" t="str">
        <x:v>Référence</x:v>
      </x:c>
      <x:c r="J179" s="24" t="str">
        <x:v>Manquant</x:v>
      </x:c>
      <x:c r="K179" s="24" t="str">
        <x:v>Manquant</x:v>
      </x:c>
      <x:c r="L179" s="24" t="str">
        <x:v>Manquant</x:v>
      </x:c>
      <x:c r="M179" s="24" t="str">
        <x:v>Manquant</x:v>
      </x:c>
      <x:c r="N179" s="24" t="str">
        <x:v>Manquant</x:v>
      </x:c>
      <x:c r="O179" s="24" t="str">
        <x:v>Manquant</x:v>
      </x:c>
      <x:c r="P179" s="24" t="str">
        <x:v>Manquant</x:v>
      </x:c>
      <x:c r="Q179" s="24" t="str">
        <x:v>Commun</x:v>
      </x:c>
      <x:c r="R179" s="24" t="str">
        <x:v>Commun</x:v>
      </x:c>
      <x:c r="S179" s="24" t="str">
        <x:v>Commun</x:v>
      </x:c>
      <x:c r="T179" s="24" t="str">
        <x:v>Commun</x:v>
      </x:c>
      <x:c r="U179" s="24" t="str">
        <x:v>Commun</x:v>
      </x:c>
      <x:c r="V179" s="24" t="str">
        <x:v>Commun</x:v>
      </x:c>
      <x:c r="W179" s="24" t="str">
        <x:v>Non consignée</x:v>
      </x:c>
      <x:c r="X179" s="24" t="str">
        <x:v>Non consignée</x:v>
      </x:c>
      <x:c r="Y179" s="24" t="str">
        <x:v>Non consignée</x:v>
      </x:c>
      <x:c r="Z179" s="24" t="str">
        <x:v>Périmée (0/6)</x:v>
      </x:c>
      <x:c r="AA179" s="23" t="str">
        <x:v>Compléter le pack ; consigner QA, accord et publication.</x:v>
      </x:c>
      <x:c r="AB179" s="21" t="str">
        <x:v>1a63ecf787bc8d20e322314e1ba17987c83b1198</x:v>
      </x:c>
      <x:c r="AC179" s="21" t="str">
        <x:v>À intégrer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Lot 08</x:v>
      </x:c>
      <x:c r="E180" s="25" t="str">
        <x:v>Animaux</x:v>
      </x:c>
      <x:c r="F180" s="24" t="str">
        <x:f>IF(AND(G180=8,COUNTIF(Q180:V180,"Atlas")=6),"Intégré","À faire")</x:f>
        <x:v>Intégré</x:v>
      </x:c>
      <x:c r="G180" s="27" t="n">
        <x:f>COUNTIF(I180:P180,"Présent")</x:f>
        <x:v>8</x:v>
      </x:c>
      <x:c r="H180" s="24" t="str">
        <x:v>Archivé Drive</x:v>
      </x:c>
      <x:c r="I180" s="24" t="str">
        <x:v>Présent</x:v>
      </x:c>
      <x:c r="J180" s="24" t="str">
        <x:v>Présent</x:v>
      </x:c>
      <x:c r="K180" s="24" t="str">
        <x:v>Présent</x:v>
      </x:c>
      <x:c r="L180" s="24" t="str">
        <x:v>Présent</x:v>
      </x:c>
      <x:c r="M180" s="24" t="str">
        <x:v>Présent</x:v>
      </x:c>
      <x:c r="N180" s="24" t="str">
        <x:v>Présent</x:v>
      </x:c>
      <x:c r="O180" s="24" t="str">
        <x:v>Présent</x:v>
      </x:c>
      <x:c r="P180" s="24" t="str">
        <x:v>Présent</x:v>
      </x:c>
      <x:c r="Q180" s="24" t="str">
        <x:v>Atlas</x:v>
      </x:c>
      <x:c r="R180" s="24" t="str">
        <x:v>Atlas</x:v>
      </x:c>
      <x:c r="S180" s="24" t="str">
        <x:v>Atlas</x:v>
      </x:c>
      <x:c r="T180" s="24" t="str">
        <x:v>Atlas</x:v>
      </x:c>
      <x:c r="U180" s="24" t="str">
        <x:v>Atlas</x:v>
      </x:c>
      <x:c r="V180" s="24" t="str">
        <x:v>Atlas</x:v>
      </x:c>
      <x:c r="W180" s="24" t="str">
        <x:v>6/6 actuelles</x:v>
      </x:c>
      <x:c r="X180" s="24" t="str">
        <x:v>6/6 actuelles</x:v>
      </x:c>
      <x:c r="Y180" s="24" t="str">
        <x:v>Non consignée</x:v>
      </x:c>
      <x:c r="Z180" s="24" t="str">
        <x:v>Périmée (0/6)</x:v>
      </x:c>
      <x:c r="AA180" s="23" t="str">
        <x:v>Accord et publication du lot non consignés.</x:v>
      </x:c>
      <x:c r="AB180" s="21" t="str">
        <x:v>9184f780a23f21687350020fa3448d58e4e0aadd</x:v>
      </x:c>
      <x:c r="AC180" s="21" t="str">
        <x:v>En cours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À planifier</x:v>
      </x:c>
      <x:c r="E181" s="25" t="str">
        <x:v>Corps</x:v>
      </x:c>
      <x:c r="F181" s="24" t="str">
        <x:f>IF(AND(G181=8,COUNTIF(Q181:V181,"Atlas")=6),"Intégré","À faire")</x:f>
        <x:v>À faire</x:v>
      </x:c>
      <x:c r="G181" s="27" t="n">
        <x:f>COUNTIF(I181:P181,"Présent")</x:f>
        <x:v>0</x:v>
      </x:c>
      <x:c r="H181" s="24" t="str">
        <x:v>À assembler</x:v>
      </x:c>
      <x:c r="I181" s="24" t="str">
        <x:v>Référence</x:v>
      </x:c>
      <x:c r="J181" s="24" t="str">
        <x:v>Manquant</x:v>
      </x:c>
      <x:c r="K181" s="24" t="str">
        <x:v>Manquant</x:v>
      </x:c>
      <x:c r="L181" s="24" t="str">
        <x:v>Manquant</x:v>
      </x:c>
      <x:c r="M181" s="24" t="str">
        <x:v>Manquant</x:v>
      </x:c>
      <x:c r="N181" s="24" t="str">
        <x:v>Manquant</x:v>
      </x:c>
      <x:c r="O181" s="24" t="str">
        <x:v>Manquant</x:v>
      </x:c>
      <x:c r="P181" s="24" t="str">
        <x:v>Manquant</x:v>
      </x:c>
      <x:c r="Q181" s="24" t="str">
        <x:v>Commun</x:v>
      </x:c>
      <x:c r="R181" s="24" t="str">
        <x:v>Commun</x:v>
      </x:c>
      <x:c r="S181" s="24" t="str">
        <x:v>Commun</x:v>
      </x:c>
      <x:c r="T181" s="24" t="str">
        <x:v>Commun</x:v>
      </x:c>
      <x:c r="U181" s="24" t="str">
        <x:v>Commun</x:v>
      </x:c>
      <x:c r="V181" s="24" t="str">
        <x:v>Commun</x:v>
      </x:c>
      <x:c r="W181" s="24" t="str">
        <x:v>Non consignée</x:v>
      </x:c>
      <x:c r="X181" s="24" t="str">
        <x:v>Non consignée</x:v>
      </x:c>
      <x:c r="Y181" s="24" t="str">
        <x:v>Non consignée</x:v>
      </x:c>
      <x:c r="Z181" s="24" t="str">
        <x:v>Périmée (0/6)</x:v>
      </x:c>
      <x:c r="AA181" s="23" t="str">
        <x:v>Compléter le pack ; consigner QA, accord et publication.</x:v>
      </x:c>
      <x:c r="AB181" s="21" t="str">
        <x:v>1a63ecf787bc8d20e322314e1ba17987c83b1198</x:v>
      </x:c>
      <x:c r="AC181" s="21" t="str">
        <x:v>À intégrer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À planifier</x:v>
      </x:c>
      <x:c r="E182" s="25" t="str">
        <x:v>Corps</x:v>
      </x:c>
      <x:c r="F182" s="24" t="str">
        <x:f>IF(AND(G182=8,COUNTIF(Q182:V182,"Atlas")=6),"Intégré","À faire")</x:f>
        <x:v>À faire</x:v>
      </x:c>
      <x:c r="G182" s="27" t="n">
        <x:f>COUNTIF(I182:P182,"Présent")</x:f>
        <x:v>0</x:v>
      </x:c>
      <x:c r="H182" s="24" t="str">
        <x:v>À assembler</x:v>
      </x:c>
      <x:c r="I182" s="24" t="str">
        <x:v>Référence</x:v>
      </x:c>
      <x:c r="J182" s="24" t="str">
        <x:v>Manquant</x:v>
      </x:c>
      <x:c r="K182" s="24" t="str">
        <x:v>Manquant</x:v>
      </x:c>
      <x:c r="L182" s="24" t="str">
        <x:v>Manquant</x:v>
      </x:c>
      <x:c r="M182" s="24" t="str">
        <x:v>Manquant</x:v>
      </x:c>
      <x:c r="N182" s="24" t="str">
        <x:v>Manquant</x:v>
      </x:c>
      <x:c r="O182" s="24" t="str">
        <x:v>Manquant</x:v>
      </x:c>
      <x:c r="P182" s="24" t="str">
        <x:v>Manquant</x:v>
      </x:c>
      <x:c r="Q182" s="24" t="str">
        <x:v>Commun</x:v>
      </x:c>
      <x:c r="R182" s="24" t="str">
        <x:v>Commun</x:v>
      </x:c>
      <x:c r="S182" s="24" t="str">
        <x:v>Commun</x:v>
      </x:c>
      <x:c r="T182" s="24" t="str">
        <x:v>Commun</x:v>
      </x:c>
      <x:c r="U182" s="24" t="str">
        <x:v>Commun</x:v>
      </x:c>
      <x:c r="V182" s="24" t="str">
        <x:v>Commun</x:v>
      </x:c>
      <x:c r="W182" s="24" t="str">
        <x:v>Non consignée</x:v>
      </x:c>
      <x:c r="X182" s="24" t="str">
        <x:v>Non consignée</x:v>
      </x:c>
      <x:c r="Y182" s="24" t="str">
        <x:v>Non consignée</x:v>
      </x:c>
      <x:c r="Z182" s="24" t="str">
        <x:v>Périmée (0/6)</x:v>
      </x:c>
      <x:c r="AA182" s="23" t="str">
        <x:v>Compléter le pack ; consigner QA, accord et publication.</x:v>
      </x:c>
      <x:c r="AB182" s="21" t="str">
        <x:v>1a63ecf787bc8d20e322314e1ba17987c83b1198</x:v>
      </x:c>
      <x:c r="AC182" s="21" t="str">
        <x:v>À intégrer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À planifier</x:v>
      </x:c>
      <x:c r="E183" s="25" t="str">
        <x:v>Actions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Commun</x:v>
      </x:c>
      <x:c r="R183" s="24" t="str">
        <x:v>Commun</x:v>
      </x:c>
      <x:c r="S183" s="24" t="str">
        <x:v>Commun</x:v>
      </x:c>
      <x:c r="T183" s="24" t="str">
        <x:v>Commun</x:v>
      </x:c>
      <x:c r="U183" s="24" t="str">
        <x:v>Commun</x:v>
      </x:c>
      <x:c r="V183" s="24" t="str">
        <x:v>Commun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Périmée (0/6)</x:v>
      </x:c>
      <x:c r="AA183" s="23" t="str">
        <x:v>Compléter le pack ; consigner QA, accord et publication.</x:v>
      </x:c>
      <x:c r="AB183" s="21" t="str">
        <x:v>1a63ecf787bc8d20e322314e1ba17987c83b1198</x:v>
      </x:c>
      <x:c r="AC183" s="21" t="str">
        <x:v>À intégrer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Lot 08</x:v>
      </x:c>
      <x:c r="E184" s="25" t="str">
        <x:v>Actions</x:v>
      </x:c>
      <x:c r="F184" s="24" t="str">
        <x:f>IF(AND(G184=8,COUNTIF(Q184:V184,"Atlas")=6),"Intégré","À faire")</x:f>
        <x:v>Intégré</x:v>
      </x:c>
      <x:c r="G184" s="27" t="n">
        <x:f>COUNTIF(I184:P184,"Présent")</x:f>
        <x:v>8</x:v>
      </x:c>
      <x:c r="H184" s="24" t="str">
        <x:v>Archivé Drive</x:v>
      </x:c>
      <x:c r="I184" s="24" t="str">
        <x:v>Présent</x:v>
      </x:c>
      <x:c r="J184" s="24" t="str">
        <x:v>Présent</x:v>
      </x:c>
      <x:c r="K184" s="24" t="str">
        <x:v>Présent</x:v>
      </x:c>
      <x:c r="L184" s="24" t="str">
        <x:v>Présent</x:v>
      </x:c>
      <x:c r="M184" s="24" t="str">
        <x:v>Présent</x:v>
      </x:c>
      <x:c r="N184" s="24" t="str">
        <x:v>Présent</x:v>
      </x:c>
      <x:c r="O184" s="24" t="str">
        <x:v>Présent</x:v>
      </x:c>
      <x:c r="P184" s="24" t="str">
        <x:v>Présent</x:v>
      </x:c>
      <x:c r="Q184" s="24" t="str">
        <x:v>Atlas</x:v>
      </x:c>
      <x:c r="R184" s="24" t="str">
        <x:v>Atlas</x:v>
      </x:c>
      <x:c r="S184" s="24" t="str">
        <x:v>Atlas</x:v>
      </x:c>
      <x:c r="T184" s="24" t="str">
        <x:v>Atlas</x:v>
      </x:c>
      <x:c r="U184" s="24" t="str">
        <x:v>Atlas</x:v>
      </x:c>
      <x:c r="V184" s="24" t="str">
        <x:v>Atlas</x:v>
      </x:c>
      <x:c r="W184" s="24" t="str">
        <x:v>6/6 actuelles</x:v>
      </x:c>
      <x:c r="X184" s="24" t="str">
        <x:v>6/6 actuelles</x:v>
      </x:c>
      <x:c r="Y184" s="24" t="str">
        <x:v>Non consignée</x:v>
      </x:c>
      <x:c r="Z184" s="24" t="str">
        <x:v>Périmée (0/6)</x:v>
      </x:c>
      <x:c r="AA184" s="23" t="str">
        <x:v>Accord et publication du lot non consignés.</x:v>
      </x:c>
      <x:c r="AB184" s="21" t="str">
        <x:v>9184f780a23f21687350020fa3448d58e4e0aadd</x:v>
      </x:c>
      <x:c r="AC184" s="21" t="str">
        <x:v>En cours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À planifier</x:v>
      </x:c>
      <x:c r="E185" s="25" t="str">
        <x:v>Objets</x:v>
      </x:c>
      <x:c r="F185" s="24" t="str">
        <x:f>IF(AND(G185=8,COUNTIF(Q185:V185,"Atlas")=6),"Intégré","À faire")</x:f>
        <x:v>À faire</x:v>
      </x:c>
      <x:c r="G185" s="27" t="n">
        <x:f>COUNTIF(I185:P185,"Présent")</x:f>
        <x:v>0</x:v>
      </x:c>
      <x:c r="H185" s="24" t="str">
        <x:v>À assembler</x:v>
      </x:c>
      <x:c r="I185" s="24" t="str">
        <x:v>Référence</x:v>
      </x:c>
      <x:c r="J185" s="24" t="str">
        <x:v>Manquant</x:v>
      </x:c>
      <x:c r="K185" s="24" t="str">
        <x:v>Manquant</x:v>
      </x:c>
      <x:c r="L185" s="24" t="str">
        <x:v>Manquant</x:v>
      </x:c>
      <x:c r="M185" s="24" t="str">
        <x:v>Manquant</x:v>
      </x:c>
      <x:c r="N185" s="24" t="str">
        <x:v>Manquant</x:v>
      </x:c>
      <x:c r="O185" s="24" t="str">
        <x:v>Manquant</x:v>
      </x:c>
      <x:c r="P185" s="24" t="str">
        <x:v>Manquant</x:v>
      </x:c>
      <x:c r="Q185" s="24" t="str">
        <x:v>Commun</x:v>
      </x:c>
      <x:c r="R185" s="24" t="str">
        <x:v>Commun</x:v>
      </x:c>
      <x:c r="S185" s="24" t="str">
        <x:v>Commun</x:v>
      </x:c>
      <x:c r="T185" s="24" t="str">
        <x:v>Commun</x:v>
      </x:c>
      <x:c r="U185" s="24" t="str">
        <x:v>Commun</x:v>
      </x:c>
      <x:c r="V185" s="24" t="str">
        <x:v>Commun</x:v>
      </x:c>
      <x:c r="W185" s="24" t="str">
        <x:v>Non consignée</x:v>
      </x:c>
      <x:c r="X185" s="24" t="str">
        <x:v>Non consignée</x:v>
      </x:c>
      <x:c r="Y185" s="24" t="str">
        <x:v>Non consignée</x:v>
      </x:c>
      <x:c r="Z185" s="24" t="str">
        <x:v>Périmée (0/6)</x:v>
      </x:c>
      <x:c r="AA185" s="23" t="str">
        <x:v>Compléter le pack ; consigner QA, accord et publication.</x:v>
      </x:c>
      <x:c r="AB185" s="21" t="str">
        <x:v>1a63ecf787bc8d20e322314e1ba17987c83b1198</x:v>
      </x:c>
      <x:c r="AC185" s="21" t="str">
        <x:v>À intégrer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À planifier</x:v>
      </x:c>
      <x:c r="E186" s="25" t="str">
        <x:v>Personnes</x:v>
      </x:c>
      <x:c r="F186" s="24" t="str">
        <x:f>IF(AND(G186=8,COUNTIF(Q186:V186,"Atlas")=6),"Intégré","À faire")</x:f>
        <x:v>À faire</x:v>
      </x:c>
      <x:c r="G186" s="27" t="n">
        <x:f>COUNTIF(I186:P186,"Présent")</x:f>
        <x:v>0</x:v>
      </x:c>
      <x:c r="H186" s="24" t="str">
        <x:v>À assembler</x:v>
      </x:c>
      <x:c r="I186" s="24" t="str">
        <x:v>Référence</x:v>
      </x:c>
      <x:c r="J186" s="24" t="str">
        <x:v>Manquant</x:v>
      </x:c>
      <x:c r="K186" s="24" t="str">
        <x:v>Manquant</x:v>
      </x:c>
      <x:c r="L186" s="24" t="str">
        <x:v>Manquant</x:v>
      </x:c>
      <x:c r="M186" s="24" t="str">
        <x:v>Manquant</x:v>
      </x:c>
      <x:c r="N186" s="24" t="str">
        <x:v>Manquant</x:v>
      </x:c>
      <x:c r="O186" s="24" t="str">
        <x:v>Manquant</x:v>
      </x:c>
      <x:c r="P186" s="24" t="str">
        <x:v>Manquant</x:v>
      </x:c>
      <x:c r="Q186" s="24" t="str">
        <x:v>Commun</x:v>
      </x:c>
      <x:c r="R186" s="24" t="str">
        <x:v>Commun</x:v>
      </x:c>
      <x:c r="S186" s="24" t="str">
        <x:v>Commun</x:v>
      </x:c>
      <x:c r="T186" s="24" t="str">
        <x:v>Commun</x:v>
      </x:c>
      <x:c r="U186" s="24" t="str">
        <x:v>Commun</x:v>
      </x:c>
      <x:c r="V186" s="24" t="str">
        <x:v>Commun</x:v>
      </x:c>
      <x:c r="W186" s="24" t="str">
        <x:v>Non consignée</x:v>
      </x:c>
      <x:c r="X186" s="24" t="str">
        <x:v>Non consignée</x:v>
      </x:c>
      <x:c r="Y186" s="24" t="str">
        <x:v>Non consignée</x:v>
      </x:c>
      <x:c r="Z186" s="24" t="str">
        <x:v>Périmée (0/6)</x:v>
      </x:c>
      <x:c r="AA186" s="23" t="str">
        <x:v>Compléter le pack ; consigner QA, accord et publication.</x:v>
      </x:c>
      <x:c r="AB186" s="21" t="str">
        <x:v>1a63ecf787bc8d20e322314e1ba17987c83b1198</x:v>
      </x:c>
      <x:c r="AC186" s="21" t="str">
        <x:v>À intégrer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À planifier</x:v>
      </x:c>
      <x:c r="E187" s="25" t="str">
        <x:v>Personnes</x:v>
      </x:c>
      <x:c r="F187" s="24" t="str">
        <x:f>IF(AND(G187=8,COUNTIF(Q187:V187,"Atlas")=6),"Intégré","À faire")</x:f>
        <x:v>À faire</x:v>
      </x:c>
      <x:c r="G187" s="27" t="n">
        <x:f>COUNTIF(I187:P187,"Présent")</x:f>
        <x:v>0</x:v>
      </x:c>
      <x:c r="H187" s="24" t="str">
        <x:v>À assembler</x:v>
      </x:c>
      <x:c r="I187" s="24" t="str">
        <x:v>Référence</x:v>
      </x:c>
      <x:c r="J187" s="24" t="str">
        <x:v>Manquant</x:v>
      </x:c>
      <x:c r="K187" s="24" t="str">
        <x:v>Manquant</x:v>
      </x:c>
      <x:c r="L187" s="24" t="str">
        <x:v>Manquant</x:v>
      </x:c>
      <x:c r="M187" s="24" t="str">
        <x:v>Manquant</x:v>
      </x:c>
      <x:c r="N187" s="24" t="str">
        <x:v>Manquant</x:v>
      </x:c>
      <x:c r="O187" s="24" t="str">
        <x:v>Manquant</x:v>
      </x:c>
      <x:c r="P187" s="24" t="str">
        <x:v>Manquant</x:v>
      </x:c>
      <x:c r="Q187" s="24" t="str">
        <x:v>Commun</x:v>
      </x:c>
      <x:c r="R187" s="24" t="str">
        <x:v>Commun</x:v>
      </x:c>
      <x:c r="S187" s="24" t="str">
        <x:v>Commun</x:v>
      </x:c>
      <x:c r="T187" s="24" t="str">
        <x:v>Commun</x:v>
      </x:c>
      <x:c r="U187" s="24" t="str">
        <x:v>Commun</x:v>
      </x:c>
      <x:c r="V187" s="24" t="str">
        <x:v>Commun</x:v>
      </x:c>
      <x:c r="W187" s="24" t="str">
        <x:v>Non consignée</x:v>
      </x:c>
      <x:c r="X187" s="24" t="str">
        <x:v>Non consignée</x:v>
      </x:c>
      <x:c r="Y187" s="24" t="str">
        <x:v>Non consignée</x:v>
      </x:c>
      <x:c r="Z187" s="24" t="str">
        <x:v>Périmée (0/6)</x:v>
      </x:c>
      <x:c r="AA187" s="23" t="str">
        <x:v>Compléter le pack ; consigner QA, accord et publication.</x:v>
      </x:c>
      <x:c r="AB187" s="21" t="str">
        <x:v>1a63ecf787bc8d20e322314e1ba17987c83b1198</x:v>
      </x:c>
      <x:c r="AC187" s="21" t="str">
        <x:v>À intégrer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À planifier</x:v>
      </x:c>
      <x:c r="E188" s="25" t="str">
        <x:v>Personnes</x:v>
      </x:c>
      <x:c r="F188" s="24" t="str">
        <x:f>IF(AND(G188=8,COUNTIF(Q188:V188,"Atlas")=6),"Intégré","À faire")</x:f>
        <x:v>À faire</x:v>
      </x:c>
      <x:c r="G188" s="27" t="n">
        <x:f>COUNTIF(I188:P188,"Présent")</x:f>
        <x:v>0</x:v>
      </x:c>
      <x:c r="H188" s="24" t="str">
        <x:v>À assembler</x:v>
      </x:c>
      <x:c r="I188" s="24" t="str">
        <x:v>Référence</x:v>
      </x:c>
      <x:c r="J188" s="24" t="str">
        <x:v>Manquant</x:v>
      </x:c>
      <x:c r="K188" s="24" t="str">
        <x:v>Manquant</x:v>
      </x:c>
      <x:c r="L188" s="24" t="str">
        <x:v>Manquant</x:v>
      </x:c>
      <x:c r="M188" s="24" t="str">
        <x:v>Manquant</x:v>
      </x:c>
      <x:c r="N188" s="24" t="str">
        <x:v>Manquant</x:v>
      </x:c>
      <x:c r="O188" s="24" t="str">
        <x:v>Manquant</x:v>
      </x:c>
      <x:c r="P188" s="24" t="str">
        <x:v>Manquant</x:v>
      </x:c>
      <x:c r="Q188" s="24" t="str">
        <x:v>Commun</x:v>
      </x:c>
      <x:c r="R188" s="24" t="str">
        <x:v>Commun</x:v>
      </x:c>
      <x:c r="S188" s="24" t="str">
        <x:v>Commun</x:v>
      </x:c>
      <x:c r="T188" s="24" t="str">
        <x:v>Commun</x:v>
      </x:c>
      <x:c r="U188" s="24" t="str">
        <x:v>Commun</x:v>
      </x:c>
      <x:c r="V188" s="24" t="str">
        <x:v>Commun</x:v>
      </x:c>
      <x:c r="W188" s="24" t="str">
        <x:v>Non consignée</x:v>
      </x:c>
      <x:c r="X188" s="24" t="str">
        <x:v>Non consignée</x:v>
      </x:c>
      <x:c r="Y188" s="24" t="str">
        <x:v>Non consignée</x:v>
      </x:c>
      <x:c r="Z188" s="24" t="str">
        <x:v>Périmée (0/6)</x:v>
      </x:c>
      <x:c r="AA188" s="23" t="str">
        <x:v>Compléter le pack ; consigner QA, accord et publication.</x:v>
      </x:c>
      <x:c r="AB188" s="21" t="str">
        <x:v>1a63ecf787bc8d20e322314e1ba17987c83b1198</x:v>
      </x:c>
      <x:c r="AC188" s="21" t="str">
        <x:v>À intégrer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À planifier</x:v>
      </x:c>
      <x:c r="E189" s="25" t="str">
        <x:v>Objets</x:v>
      </x:c>
      <x:c r="F189" s="24" t="str">
        <x:f>IF(AND(G189=8,COUNTIF(Q189:V189,"Atlas")=6),"Intégré","À faire")</x:f>
        <x:v>À faire</x:v>
      </x:c>
      <x:c r="G189" s="27" t="n">
        <x:f>COUNTIF(I189:P189,"Présent")</x:f>
        <x:v>0</x:v>
      </x:c>
      <x:c r="H189" s="24" t="str">
        <x:v>À assembler</x:v>
      </x:c>
      <x:c r="I189" s="24" t="str">
        <x:v>Référence</x:v>
      </x:c>
      <x:c r="J189" s="24" t="str">
        <x:v>Manquant</x:v>
      </x:c>
      <x:c r="K189" s="24" t="str">
        <x:v>Manquant</x:v>
      </x:c>
      <x:c r="L189" s="24" t="str">
        <x:v>Manquant</x:v>
      </x:c>
      <x:c r="M189" s="24" t="str">
        <x:v>Manquant</x:v>
      </x:c>
      <x:c r="N189" s="24" t="str">
        <x:v>Manquant</x:v>
      </x:c>
      <x:c r="O189" s="24" t="str">
        <x:v>Manquant</x:v>
      </x:c>
      <x:c r="P189" s="24" t="str">
        <x:v>Manquant</x:v>
      </x:c>
      <x:c r="Q189" s="24" t="str">
        <x:v>Commun</x:v>
      </x:c>
      <x:c r="R189" s="24" t="str">
        <x:v>Commun</x:v>
      </x:c>
      <x:c r="S189" s="24" t="str">
        <x:v>Commun</x:v>
      </x:c>
      <x:c r="T189" s="24" t="str">
        <x:v>Commun</x:v>
      </x:c>
      <x:c r="U189" s="24" t="str">
        <x:v>Commun</x:v>
      </x:c>
      <x:c r="V189" s="24" t="str">
        <x:v>Commun</x:v>
      </x:c>
      <x:c r="W189" s="24" t="str">
        <x:v>Non consignée</x:v>
      </x:c>
      <x:c r="X189" s="24" t="str">
        <x:v>Non consignée</x:v>
      </x:c>
      <x:c r="Y189" s="24" t="str">
        <x:v>Non consignée</x:v>
      </x:c>
      <x:c r="Z189" s="24" t="str">
        <x:v>Périmée (0/6)</x:v>
      </x:c>
      <x:c r="AA189" s="23" t="str">
        <x:v>Compléter le pack ; consigner QA, accord et publication.</x:v>
      </x:c>
      <x:c r="AB189" s="21" t="str">
        <x:v>1a63ecf787bc8d20e322314e1ba17987c83b1198</x:v>
      </x:c>
      <x:c r="AC189" s="21" t="str">
        <x:v>À intégrer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Lot 08</x:v>
      </x:c>
      <x:c r="E190" s="25" t="str">
        <x:v>Actions</x:v>
      </x:c>
      <x:c r="F190" s="24" t="str">
        <x:f>IF(AND(G190=8,COUNTIF(Q190:V190,"Atlas")=6),"Intégré","À faire")</x:f>
        <x:v>Intégré</x:v>
      </x:c>
      <x:c r="G190" s="27" t="n">
        <x:f>COUNTIF(I190:P190,"Présent")</x:f>
        <x:v>8</x:v>
      </x:c>
      <x:c r="H190" s="24" t="str">
        <x:v>Archivé Drive</x:v>
      </x:c>
      <x:c r="I190" s="24" t="str">
        <x:v>Présent</x:v>
      </x:c>
      <x:c r="J190" s="24" t="str">
        <x:v>Présent</x:v>
      </x:c>
      <x:c r="K190" s="24" t="str">
        <x:v>Présent</x:v>
      </x:c>
      <x:c r="L190" s="24" t="str">
        <x:v>Présent</x:v>
      </x:c>
      <x:c r="M190" s="24" t="str">
        <x:v>Présent</x:v>
      </x:c>
      <x:c r="N190" s="24" t="str">
        <x:v>Présent</x:v>
      </x:c>
      <x:c r="O190" s="24" t="str">
        <x:v>Présent</x:v>
      </x:c>
      <x:c r="P190" s="24" t="str">
        <x:v>Présent</x:v>
      </x:c>
      <x:c r="Q190" s="24" t="str">
        <x:v>Atlas</x:v>
      </x:c>
      <x:c r="R190" s="24" t="str">
        <x:v>Atlas</x:v>
      </x:c>
      <x:c r="S190" s="24" t="str">
        <x:v>Atlas</x:v>
      </x:c>
      <x:c r="T190" s="24" t="str">
        <x:v>Atlas</x:v>
      </x:c>
      <x:c r="U190" s="24" t="str">
        <x:v>Atlas</x:v>
      </x:c>
      <x:c r="V190" s="24" t="str">
        <x:v>Atlas</x:v>
      </x:c>
      <x:c r="W190" s="24" t="str">
        <x:v>6/6 actuelles</x:v>
      </x:c>
      <x:c r="X190" s="24" t="str">
        <x:v>6/6 actuelles</x:v>
      </x:c>
      <x:c r="Y190" s="24" t="str">
        <x:v>Non consignée</x:v>
      </x:c>
      <x:c r="Z190" s="24" t="str">
        <x:v>Périmée (0/6)</x:v>
      </x:c>
      <x:c r="AA190" s="23" t="str">
        <x:v>Accord et publication du lot non consignés.</x:v>
      </x:c>
      <x:c r="AB190" s="21" t="str">
        <x:v>9184f780a23f21687350020fa3448d58e4e0aadd</x:v>
      </x:c>
      <x:c r="AC190" s="21" t="str">
        <x:v>En cours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Lot 08</x:v>
      </x:c>
      <x:c r="E191" s="25" t="str">
        <x:v>Actions</x:v>
      </x:c>
      <x:c r="F191" s="24" t="str">
        <x:f>IF(AND(G191=8,COUNTIF(Q191:V191,"Atlas")=6),"Intégré","À faire")</x:f>
        <x:v>Intégré</x:v>
      </x:c>
      <x:c r="G191" s="27" t="n">
        <x:f>COUNTIF(I191:P191,"Présent")</x:f>
        <x:v>8</x:v>
      </x:c>
      <x:c r="H191" s="24" t="str">
        <x:v>Archivé Drive</x:v>
      </x:c>
      <x:c r="I191" s="24" t="str">
        <x:v>Présent</x:v>
      </x:c>
      <x:c r="J191" s="24" t="str">
        <x:v>Présent</x:v>
      </x:c>
      <x:c r="K191" s="24" t="str">
        <x:v>Présent</x:v>
      </x:c>
      <x:c r="L191" s="24" t="str">
        <x:v>Présent</x:v>
      </x:c>
      <x:c r="M191" s="24" t="str">
        <x:v>Présent</x:v>
      </x:c>
      <x:c r="N191" s="24" t="str">
        <x:v>Présent</x:v>
      </x:c>
      <x:c r="O191" s="24" t="str">
        <x:v>Présent</x:v>
      </x:c>
      <x:c r="P191" s="24" t="str">
        <x:v>Présent</x:v>
      </x:c>
      <x:c r="Q191" s="24" t="str">
        <x:v>Atlas</x:v>
      </x:c>
      <x:c r="R191" s="24" t="str">
        <x:v>Atlas</x:v>
      </x:c>
      <x:c r="S191" s="24" t="str">
        <x:v>Atlas</x:v>
      </x:c>
      <x:c r="T191" s="24" t="str">
        <x:v>Atlas</x:v>
      </x:c>
      <x:c r="U191" s="24" t="str">
        <x:v>Atlas</x:v>
      </x:c>
      <x:c r="V191" s="24" t="str">
        <x:v>Atlas</x:v>
      </x:c>
      <x:c r="W191" s="24" t="str">
        <x:v>6/6 actuelles</x:v>
      </x:c>
      <x:c r="X191" s="24" t="str">
        <x:v>6/6 actuelles</x:v>
      </x:c>
      <x:c r="Y191" s="24" t="str">
        <x:v>Non consignée</x:v>
      </x:c>
      <x:c r="Z191" s="24" t="str">
        <x:v>Périmée (0/6)</x:v>
      </x:c>
      <x:c r="AA191" s="23" t="str">
        <x:v>Accord et publication du lot non consignés.</x:v>
      </x:c>
      <x:c r="AB191" s="21" t="str">
        <x:v>9184f780a23f21687350020fa3448d58e4e0aadd</x:v>
      </x:c>
      <x:c r="AC191" s="21" t="str">
        <x:v>En cours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À planifier</x:v>
      </x:c>
      <x:c r="E192" s="25" t="str">
        <x:v>Actions</x:v>
      </x:c>
      <x:c r="F192" s="24" t="str">
        <x:f>IF(AND(G192=8,COUNTIF(Q192:V192,"Atlas")=6),"Intégré","À faire")</x:f>
        <x:v>À faire</x:v>
      </x:c>
      <x:c r="G192" s="27" t="n">
        <x:f>COUNTIF(I192:P192,"Présent")</x:f>
        <x:v>0</x:v>
      </x:c>
      <x:c r="H192" s="24" t="str">
        <x:v>À assembler</x:v>
      </x:c>
      <x:c r="I192" s="24" t="str">
        <x:v>Référence</x:v>
      </x:c>
      <x:c r="J192" s="24" t="str">
        <x:v>Manquant</x:v>
      </x:c>
      <x:c r="K192" s="24" t="str">
        <x:v>Manquant</x:v>
      </x:c>
      <x:c r="L192" s="24" t="str">
        <x:v>Manquant</x:v>
      </x:c>
      <x:c r="M192" s="24" t="str">
        <x:v>Manquant</x:v>
      </x:c>
      <x:c r="N192" s="24" t="str">
        <x:v>Manquant</x:v>
      </x:c>
      <x:c r="O192" s="24" t="str">
        <x:v>Manquant</x:v>
      </x:c>
      <x:c r="P192" s="24" t="str">
        <x:v>Manquant</x:v>
      </x:c>
      <x:c r="Q192" s="24" t="str">
        <x:v>Commun</x:v>
      </x:c>
      <x:c r="R192" s="24" t="str">
        <x:v>Commun</x:v>
      </x:c>
      <x:c r="S192" s="24" t="str">
        <x:v>Commun</x:v>
      </x:c>
      <x:c r="T192" s="24" t="str">
        <x:v>Commun</x:v>
      </x:c>
      <x:c r="U192" s="24" t="str">
        <x:v>Commun</x:v>
      </x:c>
      <x:c r="V192" s="24" t="str">
        <x:v>Commun</x:v>
      </x:c>
      <x:c r="W192" s="24" t="str">
        <x:v>Non consignée</x:v>
      </x:c>
      <x:c r="X192" s="24" t="str">
        <x:v>Non consignée</x:v>
      </x:c>
      <x:c r="Y192" s="24" t="str">
        <x:v>Non consignée</x:v>
      </x:c>
      <x:c r="Z192" s="24" t="str">
        <x:v>Périmée (0/6)</x:v>
      </x:c>
      <x:c r="AA192" s="23" t="str">
        <x:v>Compléter le pack ; consigner QA, accord et publication.</x:v>
      </x:c>
      <x:c r="AB192" s="21" t="str">
        <x:v>1a63ecf787bc8d20e322314e1ba17987c83b1198</x:v>
      </x:c>
      <x:c r="AC192" s="21" t="str">
        <x:v>À intégrer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À planifier</x:v>
      </x:c>
      <x:c r="E193" s="25" t="str">
        <x:v>Actions</x:v>
      </x:c>
      <x:c r="F193" s="24" t="str">
        <x:f>IF(AND(G193=8,COUNTIF(Q193:V193,"Atlas")=6),"Intégré","À faire")</x:f>
        <x:v>À faire</x:v>
      </x:c>
      <x:c r="G193" s="27" t="n">
        <x:f>COUNTIF(I193:P193,"Présent")</x:f>
        <x:v>0</x:v>
      </x:c>
      <x:c r="H193" s="24" t="str">
        <x:v>À assembler</x:v>
      </x:c>
      <x:c r="I193" s="24" t="str">
        <x:v>Référence</x:v>
      </x:c>
      <x:c r="J193" s="24" t="str">
        <x:v>Manquant</x:v>
      </x:c>
      <x:c r="K193" s="24" t="str">
        <x:v>Manquant</x:v>
      </x:c>
      <x:c r="L193" s="24" t="str">
        <x:v>Manquant</x:v>
      </x:c>
      <x:c r="M193" s="24" t="str">
        <x:v>Manquant</x:v>
      </x:c>
      <x:c r="N193" s="24" t="str">
        <x:v>Manquant</x:v>
      </x:c>
      <x:c r="O193" s="24" t="str">
        <x:v>Manquant</x:v>
      </x:c>
      <x:c r="P193" s="24" t="str">
        <x:v>Manquant</x:v>
      </x:c>
      <x:c r="Q193" s="24" t="str">
        <x:v>Commun</x:v>
      </x:c>
      <x:c r="R193" s="24" t="str">
        <x:v>Commun</x:v>
      </x:c>
      <x:c r="S193" s="24" t="str">
        <x:v>Commun</x:v>
      </x:c>
      <x:c r="T193" s="24" t="str">
        <x:v>Commun</x:v>
      </x:c>
      <x:c r="U193" s="24" t="str">
        <x:v>Commun</x:v>
      </x:c>
      <x:c r="V193" s="24" t="str">
        <x:v>Commun</x:v>
      </x:c>
      <x:c r="W193" s="24" t="str">
        <x:v>Non consignée</x:v>
      </x:c>
      <x:c r="X193" s="24" t="str">
        <x:v>Non consignée</x:v>
      </x:c>
      <x:c r="Y193" s="24" t="str">
        <x:v>Non consignée</x:v>
      </x:c>
      <x:c r="Z193" s="24" t="str">
        <x:v>Périmée (0/6)</x:v>
      </x:c>
      <x:c r="AA193" s="23" t="str">
        <x:v>Compléter le pack ; consigner QA, accord et publication.</x:v>
      </x:c>
      <x:c r="AB193" s="21" t="str">
        <x:v>1a63ecf787bc8d20e322314e1ba17987c83b1198</x:v>
      </x:c>
      <x:c r="AC193" s="21" t="str">
        <x:v>À intégrer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Lot 08</x:v>
      </x:c>
      <x:c r="E194" s="25" t="str">
        <x:v>Corps</x:v>
      </x:c>
      <x:c r="F194" s="24" t="str">
        <x:f>IF(AND(G194=8,COUNTIF(Q194:V194,"Atlas")=6),"Intégré","À faire")</x:f>
        <x:v>Intégré</x:v>
      </x:c>
      <x:c r="G194" s="27" t="n">
        <x:f>COUNTIF(I194:P194,"Présent")</x:f>
        <x:v>8</x:v>
      </x:c>
      <x:c r="H194" s="24" t="str">
        <x:v>Archivé Drive</x:v>
      </x:c>
      <x:c r="I194" s="24" t="str">
        <x:v>Présent</x:v>
      </x:c>
      <x:c r="J194" s="24" t="str">
        <x:v>Présent</x:v>
      </x:c>
      <x:c r="K194" s="24" t="str">
        <x:v>Présent</x:v>
      </x:c>
      <x:c r="L194" s="24" t="str">
        <x:v>Présent</x:v>
      </x:c>
      <x:c r="M194" s="24" t="str">
        <x:v>Présent</x:v>
      </x:c>
      <x:c r="N194" s="24" t="str">
        <x:v>Présent</x:v>
      </x:c>
      <x:c r="O194" s="24" t="str">
        <x:v>Présent</x:v>
      </x:c>
      <x:c r="P194" s="24" t="str">
        <x:v>Présent</x:v>
      </x:c>
      <x:c r="Q194" s="24" t="str">
        <x:v>Atlas</x:v>
      </x:c>
      <x:c r="R194" s="24" t="str">
        <x:v>Atlas</x:v>
      </x:c>
      <x:c r="S194" s="24" t="str">
        <x:v>Atlas</x:v>
      </x:c>
      <x:c r="T194" s="24" t="str">
        <x:v>Atlas</x:v>
      </x:c>
      <x:c r="U194" s="24" t="str">
        <x:v>Atlas</x:v>
      </x:c>
      <x:c r="V194" s="24" t="str">
        <x:v>Atlas</x:v>
      </x:c>
      <x:c r="W194" s="24" t="str">
        <x:v>6/6 actuelles</x:v>
      </x:c>
      <x:c r="X194" s="24" t="str">
        <x:v>6/6 actuelles</x:v>
      </x:c>
      <x:c r="Y194" s="24" t="str">
        <x:v>Non consignée</x:v>
      </x:c>
      <x:c r="Z194" s="24" t="str">
        <x:v>Périmée (0/6)</x:v>
      </x:c>
      <x:c r="AA194" s="23" t="str">
        <x:v>Accord et publication du lot non consignés.</x:v>
      </x:c>
      <x:c r="AB194" s="21" t="str">
        <x:v>9184f780a23f21687350020fa3448d58e4e0aadd</x:v>
      </x:c>
      <x:c r="AC194" s="21" t="str">
        <x:v>En cours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Lot 08</x:v>
      </x:c>
      <x:c r="E195" s="25" t="str">
        <x:v>Ciel</x:v>
      </x:c>
      <x:c r="F195" s="24" t="str">
        <x:f>IF(AND(G195=8,COUNTIF(Q195:V195,"Atlas")=6),"Intégré","À faire")</x:f>
        <x:v>Intégré</x:v>
      </x:c>
      <x:c r="G195" s="27" t="n">
        <x:f>COUNTIF(I195:P195,"Présent")</x:f>
        <x:v>8</x:v>
      </x:c>
      <x:c r="H195" s="24" t="str">
        <x:v>Archivé Drive</x:v>
      </x:c>
      <x:c r="I195" s="24" t="str">
        <x:v>Présent</x:v>
      </x:c>
      <x:c r="J195" s="24" t="str">
        <x:v>Présent</x:v>
      </x:c>
      <x:c r="K195" s="24" t="str">
        <x:v>Présent</x:v>
      </x:c>
      <x:c r="L195" s="24" t="str">
        <x:v>Présent</x:v>
      </x:c>
      <x:c r="M195" s="24" t="str">
        <x:v>Présent</x:v>
      </x:c>
      <x:c r="N195" s="24" t="str">
        <x:v>Présent</x:v>
      </x:c>
      <x:c r="O195" s="24" t="str">
        <x:v>Présent</x:v>
      </x:c>
      <x:c r="P195" s="24" t="str">
        <x:v>Présent</x:v>
      </x:c>
      <x:c r="Q195" s="24" t="str">
        <x:v>Atlas</x:v>
      </x:c>
      <x:c r="R195" s="24" t="str">
        <x:v>Atlas</x:v>
      </x:c>
      <x:c r="S195" s="24" t="str">
        <x:v>Atlas</x:v>
      </x:c>
      <x:c r="T195" s="24" t="str">
        <x:v>Atlas</x:v>
      </x:c>
      <x:c r="U195" s="24" t="str">
        <x:v>Atlas</x:v>
      </x:c>
      <x:c r="V195" s="24" t="str">
        <x:v>Atlas</x:v>
      </x:c>
      <x:c r="W195" s="24" t="str">
        <x:v>6/6 actuelles</x:v>
      </x:c>
      <x:c r="X195" s="24" t="str">
        <x:v>6/6 actuelles</x:v>
      </x:c>
      <x:c r="Y195" s="24" t="str">
        <x:v>Non consignée</x:v>
      </x:c>
      <x:c r="Z195" s="24" t="str">
        <x:v>Périmée (0/6)</x:v>
      </x:c>
      <x:c r="AA195" s="23" t="str">
        <x:v>Accord et publication du lot non consignés.</x:v>
      </x:c>
      <x:c r="AB195" s="21" t="str">
        <x:v>9184f780a23f21687350020fa3448d58e4e0aadd</x:v>
      </x:c>
      <x:c r="AC195" s="21" t="str">
        <x:v>En cours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À planifier</x:v>
      </x:c>
      <x:c r="E196" s="25" t="str">
        <x:v>Personnes</x:v>
      </x:c>
      <x:c r="F196" s="24" t="str">
        <x:f>IF(AND(G196=8,COUNTIF(Q196:V196,"Atlas")=6),"Intégré","À faire")</x:f>
        <x:v>À faire</x:v>
      </x:c>
      <x:c r="G196" s="27" t="n">
        <x:f>COUNTIF(I196:P196,"Présent")</x:f>
        <x:v>0</x:v>
      </x:c>
      <x:c r="H196" s="24" t="str">
        <x:v>À assembler</x:v>
      </x:c>
      <x:c r="I196" s="24" t="str">
        <x:v>Référence</x:v>
      </x:c>
      <x:c r="J196" s="24" t="str">
        <x:v>Manquant</x:v>
      </x:c>
      <x:c r="K196" s="24" t="str">
        <x:v>Manquant</x:v>
      </x:c>
      <x:c r="L196" s="24" t="str">
        <x:v>Manquant</x:v>
      </x:c>
      <x:c r="M196" s="24" t="str">
        <x:v>Manquant</x:v>
      </x:c>
      <x:c r="N196" s="24" t="str">
        <x:v>Manquant</x:v>
      </x:c>
      <x:c r="O196" s="24" t="str">
        <x:v>Manquant</x:v>
      </x:c>
      <x:c r="P196" s="24" t="str">
        <x:v>Manquant</x:v>
      </x:c>
      <x:c r="Q196" s="24" t="str">
        <x:v>Commun</x:v>
      </x:c>
      <x:c r="R196" s="24" t="str">
        <x:v>Commun</x:v>
      </x:c>
      <x:c r="S196" s="24" t="str">
        <x:v>Commun</x:v>
      </x:c>
      <x:c r="T196" s="24" t="str">
        <x:v>Commun</x:v>
      </x:c>
      <x:c r="U196" s="24" t="str">
        <x:v>Commun</x:v>
      </x:c>
      <x:c r="V196" s="24" t="str">
        <x:v>Commun</x:v>
      </x:c>
      <x:c r="W196" s="24" t="str">
        <x:v>Non consignée</x:v>
      </x:c>
      <x:c r="X196" s="24" t="str">
        <x:v>Non consignée</x:v>
      </x:c>
      <x:c r="Y196" s="24" t="str">
        <x:v>Non consignée</x:v>
      </x:c>
      <x:c r="Z196" s="24" t="str">
        <x:v>Périmée (0/6)</x:v>
      </x:c>
      <x:c r="AA196" s="23" t="str">
        <x:v>Compléter le pack ; consigner QA, accord et publication.</x:v>
      </x:c>
      <x:c r="AB196" s="21" t="str">
        <x:v>1a63ecf787bc8d20e322314e1ba17987c83b1198</x:v>
      </x:c>
      <x:c r="AC196" s="21" t="str">
        <x:v>À intégrer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À planifier</x:v>
      </x:c>
      <x:c r="E197" s="25" t="str">
        <x:v>Objets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Périmée (0/6)</x:v>
      </x:c>
      <x:c r="AA197" s="23" t="str">
        <x:v>Compléter le pack ; consigner QA, accord et publication.</x:v>
      </x:c>
      <x:c r="AB197" s="21" t="str">
        <x:v>1a63ecf787bc8d20e322314e1ba17987c83b1198</x:v>
      </x:c>
      <x:c r="AC197" s="21" t="str">
        <x:v>À intégrer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À planifier</x:v>
      </x:c>
      <x:c r="E198" s="25" t="str">
        <x:v>Animaux</x:v>
      </x:c>
      <x:c r="F198" s="24" t="str">
        <x:f>IF(AND(G198=8,COUNTIF(Q198:V198,"Atlas")=6),"Intégré","À faire")</x:f>
        <x:v>À faire</x:v>
      </x:c>
      <x:c r="G198" s="27" t="n">
        <x:f>COUNTIF(I198:P198,"Présent")</x:f>
        <x:v>0</x:v>
      </x:c>
      <x:c r="H198" s="24" t="str">
        <x:v>À assembler</x:v>
      </x:c>
      <x:c r="I198" s="24" t="str">
        <x:v>Référence</x:v>
      </x:c>
      <x:c r="J198" s="24" t="str">
        <x:v>Manquant</x:v>
      </x:c>
      <x:c r="K198" s="24" t="str">
        <x:v>Manquant</x:v>
      </x:c>
      <x:c r="L198" s="24" t="str">
        <x:v>Manquant</x:v>
      </x:c>
      <x:c r="M198" s="24" t="str">
        <x:v>Manquant</x:v>
      </x:c>
      <x:c r="N198" s="24" t="str">
        <x:v>Manquant</x:v>
      </x:c>
      <x:c r="O198" s="24" t="str">
        <x:v>Manquant</x:v>
      </x:c>
      <x:c r="P198" s="24" t="str">
        <x:v>Manquant</x:v>
      </x:c>
      <x:c r="Q198" s="24" t="str">
        <x:v>Commun</x:v>
      </x:c>
      <x:c r="R198" s="24" t="str">
        <x:v>Commun</x:v>
      </x:c>
      <x:c r="S198" s="24" t="str">
        <x:v>Commun</x:v>
      </x:c>
      <x:c r="T198" s="24" t="str">
        <x:v>Commun</x:v>
      </x:c>
      <x:c r="U198" s="24" t="str">
        <x:v>Commun</x:v>
      </x:c>
      <x:c r="V198" s="24" t="str">
        <x:v>Commun</x:v>
      </x:c>
      <x:c r="W198" s="24" t="str">
        <x:v>Non consignée</x:v>
      </x:c>
      <x:c r="X198" s="24" t="str">
        <x:v>Non consignée</x:v>
      </x:c>
      <x:c r="Y198" s="24" t="str">
        <x:v>Non consignée</x:v>
      </x:c>
      <x:c r="Z198" s="24" t="str">
        <x:v>Périmée (0/6)</x:v>
      </x:c>
      <x:c r="AA198" s="23" t="str">
        <x:v>Compléter le pack ; consigner QA, accord et publication.</x:v>
      </x:c>
      <x:c r="AB198" s="21" t="str">
        <x:v>1a63ecf787bc8d20e322314e1ba17987c83b1198</x:v>
      </x:c>
      <x:c r="AC198" s="21" t="str">
        <x:v>À intégrer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À planifier</x:v>
      </x:c>
      <x:c r="E199" s="25" t="str">
        <x:v>Actions</x:v>
      </x:c>
      <x:c r="F199" s="24" t="str">
        <x:f>IF(AND(G199=8,COUNTIF(Q199:V199,"Atlas")=6),"Intégré","À faire")</x:f>
        <x:v>À faire</x:v>
      </x:c>
      <x:c r="G199" s="27" t="n">
        <x:f>COUNTIF(I199:P199,"Présent")</x:f>
        <x:v>0</x:v>
      </x:c>
      <x:c r="H199" s="24" t="str">
        <x:v>À assembler</x:v>
      </x:c>
      <x:c r="I199" s="24" t="str">
        <x:v>Référence</x:v>
      </x:c>
      <x:c r="J199" s="24" t="str">
        <x:v>Manquant</x:v>
      </x:c>
      <x:c r="K199" s="24" t="str">
        <x:v>Manquant</x:v>
      </x:c>
      <x:c r="L199" s="24" t="str">
        <x:v>Manquant</x:v>
      </x:c>
      <x:c r="M199" s="24" t="str">
        <x:v>Manquant</x:v>
      </x:c>
      <x:c r="N199" s="24" t="str">
        <x:v>Manquant</x:v>
      </x:c>
      <x:c r="O199" s="24" t="str">
        <x:v>Manquant</x:v>
      </x:c>
      <x:c r="P199" s="24" t="str">
        <x:v>Manquant</x:v>
      </x:c>
      <x:c r="Q199" s="24" t="str">
        <x:v>Commun</x:v>
      </x:c>
      <x:c r="R199" s="24" t="str">
        <x:v>Commun</x:v>
      </x:c>
      <x:c r="S199" s="24" t="str">
        <x:v>Commun</x:v>
      </x:c>
      <x:c r="T199" s="24" t="str">
        <x:v>Commun</x:v>
      </x:c>
      <x:c r="U199" s="24" t="str">
        <x:v>Commun</x:v>
      </x:c>
      <x:c r="V199" s="24" t="str">
        <x:v>Commun</x:v>
      </x:c>
      <x:c r="W199" s="24" t="str">
        <x:v>Non consignée</x:v>
      </x:c>
      <x:c r="X199" s="24" t="str">
        <x:v>Non consignée</x:v>
      </x:c>
      <x:c r="Y199" s="24" t="str">
        <x:v>Non consignée</x:v>
      </x:c>
      <x:c r="Z199" s="24" t="str">
        <x:v>Périmée (0/6)</x:v>
      </x:c>
      <x:c r="AA199" s="23" t="str">
        <x:v>Compléter le pack ; consigner QA, accord et publication.</x:v>
      </x:c>
      <x:c r="AB199" s="21" t="str">
        <x:v>1a63ecf787bc8d20e322314e1ba17987c83b1198</x:v>
      </x:c>
      <x:c r="AC199" s="21" t="str">
        <x:v>À intégrer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À planifier</x:v>
      </x:c>
      <x:c r="E200" s="25" t="str">
        <x:v>Personnes</x:v>
      </x:c>
      <x:c r="F200" s="24" t="str">
        <x:f>IF(AND(G200=8,COUNTIF(Q200:V200,"Atlas")=6),"Intégré","À faire")</x:f>
        <x:v>À faire</x:v>
      </x:c>
      <x:c r="G200" s="27" t="n">
        <x:f>COUNTIF(I200:P200,"Présent")</x:f>
        <x:v>0</x:v>
      </x:c>
      <x:c r="H200" s="24" t="str">
        <x:v>À assembler</x:v>
      </x:c>
      <x:c r="I200" s="24" t="str">
        <x:v>Référence</x:v>
      </x:c>
      <x:c r="J200" s="24" t="str">
        <x:v>Manquant</x:v>
      </x:c>
      <x:c r="K200" s="24" t="str">
        <x:v>Manquant</x:v>
      </x:c>
      <x:c r="L200" s="24" t="str">
        <x:v>Manquant</x:v>
      </x:c>
      <x:c r="M200" s="24" t="str">
        <x:v>Manquant</x:v>
      </x:c>
      <x:c r="N200" s="24" t="str">
        <x:v>Manquant</x:v>
      </x:c>
      <x:c r="O200" s="24" t="str">
        <x:v>Manquant</x:v>
      </x:c>
      <x:c r="P200" s="24" t="str">
        <x:v>Manquant</x:v>
      </x:c>
      <x:c r="Q200" s="24" t="str">
        <x:v>Commun</x:v>
      </x:c>
      <x:c r="R200" s="24" t="str">
        <x:v>Commun</x:v>
      </x:c>
      <x:c r="S200" s="24" t="str">
        <x:v>Commun</x:v>
      </x:c>
      <x:c r="T200" s="24" t="str">
        <x:v>Commun</x:v>
      </x:c>
      <x:c r="U200" s="24" t="str">
        <x:v>Commun</x:v>
      </x:c>
      <x:c r="V200" s="24" t="str">
        <x:v>Commun</x:v>
      </x:c>
      <x:c r="W200" s="24" t="str">
        <x:v>Non consignée</x:v>
      </x:c>
      <x:c r="X200" s="24" t="str">
        <x:v>Non consignée</x:v>
      </x:c>
      <x:c r="Y200" s="24" t="str">
        <x:v>Non consignée</x:v>
      </x:c>
      <x:c r="Z200" s="24" t="str">
        <x:v>Périmée (0/6)</x:v>
      </x:c>
      <x:c r="AA200" s="23" t="str">
        <x:v>Compléter le pack ; consigner QA, accord et publication.</x:v>
      </x:c>
      <x:c r="AB200" s="21" t="str">
        <x:v>1a63ecf787bc8d20e322314e1ba17987c83b1198</x:v>
      </x:c>
      <x:c r="AC200" s="21" t="str">
        <x:v>À intégrer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À planifier</x:v>
      </x:c>
      <x:c r="E201" s="25" t="str">
        <x:v>Objets</x:v>
      </x:c>
      <x:c r="F201" s="24" t="str">
        <x:f>IF(AND(G201=8,COUNTIF(Q201:V201,"Atlas")=6),"Intégré","À faire")</x:f>
        <x:v>À faire</x:v>
      </x:c>
      <x:c r="G201" s="27" t="n">
        <x:f>COUNTIF(I201:P201,"Présent")</x:f>
        <x:v>0</x:v>
      </x:c>
      <x:c r="H201" s="24" t="str">
        <x:v>À assembler</x:v>
      </x:c>
      <x:c r="I201" s="24" t="str">
        <x:v>Référence</x:v>
      </x:c>
      <x:c r="J201" s="24" t="str">
        <x:v>Manquant</x:v>
      </x:c>
      <x:c r="K201" s="24" t="str">
        <x:v>Manquant</x:v>
      </x:c>
      <x:c r="L201" s="24" t="str">
        <x:v>Manquant</x:v>
      </x:c>
      <x:c r="M201" s="24" t="str">
        <x:v>Manquant</x:v>
      </x:c>
      <x:c r="N201" s="24" t="str">
        <x:v>Manquant</x:v>
      </x:c>
      <x:c r="O201" s="24" t="str">
        <x:v>Manquant</x:v>
      </x:c>
      <x:c r="P201" s="24" t="str">
        <x:v>Manquant</x:v>
      </x:c>
      <x:c r="Q201" s="24" t="str">
        <x:v>Commun</x:v>
      </x:c>
      <x:c r="R201" s="24" t="str">
        <x:v>Commun</x:v>
      </x:c>
      <x:c r="S201" s="24" t="str">
        <x:v>Commun</x:v>
      </x:c>
      <x:c r="T201" s="24" t="str">
        <x:v>Commun</x:v>
      </x:c>
      <x:c r="U201" s="24" t="str">
        <x:v>Commun</x:v>
      </x:c>
      <x:c r="V201" s="24" t="str">
        <x:v>Commun</x:v>
      </x:c>
      <x:c r="W201" s="24" t="str">
        <x:v>Non consignée</x:v>
      </x:c>
      <x:c r="X201" s="24" t="str">
        <x:v>Non consignée</x:v>
      </x:c>
      <x:c r="Y201" s="24" t="str">
        <x:v>Non consignée</x:v>
      </x:c>
      <x:c r="Z201" s="24" t="str">
        <x:v>Périmée (0/6)</x:v>
      </x:c>
      <x:c r="AA201" s="23" t="str">
        <x:v>Compléter le pack ; consigner QA, accord et publication.</x:v>
      </x:c>
      <x:c r="AB201" s="21" t="str">
        <x:v>1a63ecf787bc8d20e322314e1ba17987c83b1198</x:v>
      </x:c>
      <x:c r="AC201" s="21" t="str">
        <x:v>À intégrer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À planifier</x:v>
      </x:c>
      <x:c r="E202" s="25" t="str">
        <x:v>Personnes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Commun</x:v>
      </x:c>
      <x:c r="R202" s="24" t="str">
        <x:v>Commun</x:v>
      </x:c>
      <x:c r="S202" s="24" t="str">
        <x:v>Commun</x:v>
      </x:c>
      <x:c r="T202" s="24" t="str">
        <x:v>Commun</x:v>
      </x:c>
      <x:c r="U202" s="24" t="str">
        <x:v>Commun</x:v>
      </x:c>
      <x:c r="V202" s="24" t="str">
        <x:v>Commun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Périmée (0/6)</x:v>
      </x:c>
      <x:c r="AA202" s="23" t="str">
        <x:v>Compléter le pack ; consigner QA, accord et publication.</x:v>
      </x:c>
      <x:c r="AB202" s="21" t="str">
        <x:v>1a63ecf787bc8d20e322314e1ba17987c83b1198</x:v>
      </x:c>
      <x:c r="AC202" s="21" t="str">
        <x:v>À intégrer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À planifier</x:v>
      </x:c>
      <x:c r="E203" s="25" t="str">
        <x:v>Personnes</x:v>
      </x:c>
      <x:c r="F203" s="24" t="str">
        <x:f>IF(AND(G203=8,COUNTIF(Q203:V203,"Atlas")=6),"Intégré","À faire")</x:f>
        <x:v>À faire</x:v>
      </x:c>
      <x:c r="G203" s="27" t="n">
        <x:f>COUNTIF(I203:P203,"Présent")</x:f>
        <x:v>0</x:v>
      </x:c>
      <x:c r="H203" s="24" t="str">
        <x:v>À assembler</x:v>
      </x:c>
      <x:c r="I203" s="24" t="str">
        <x:v>Référence</x:v>
      </x:c>
      <x:c r="J203" s="24" t="str">
        <x:v>Manquant</x:v>
      </x:c>
      <x:c r="K203" s="24" t="str">
        <x:v>Manquant</x:v>
      </x:c>
      <x:c r="L203" s="24" t="str">
        <x:v>Manquant</x:v>
      </x:c>
      <x:c r="M203" s="24" t="str">
        <x:v>Manquant</x:v>
      </x:c>
      <x:c r="N203" s="24" t="str">
        <x:v>Manquant</x:v>
      </x:c>
      <x:c r="O203" s="24" t="str">
        <x:v>Manquant</x:v>
      </x:c>
      <x:c r="P203" s="24" t="str">
        <x:v>Manquant</x:v>
      </x:c>
      <x:c r="Q203" s="24" t="str">
        <x:v>Commun</x:v>
      </x:c>
      <x:c r="R203" s="24" t="str">
        <x:v>Commun</x:v>
      </x:c>
      <x:c r="S203" s="24" t="str">
        <x:v>Commun</x:v>
      </x:c>
      <x:c r="T203" s="24" t="str">
        <x:v>Commun</x:v>
      </x:c>
      <x:c r="U203" s="24" t="str">
        <x:v>Commun</x:v>
      </x:c>
      <x:c r="V203" s="24" t="str">
        <x:v>Commun</x:v>
      </x:c>
      <x:c r="W203" s="24" t="str">
        <x:v>Non consignée</x:v>
      </x:c>
      <x:c r="X203" s="24" t="str">
        <x:v>Non consignée</x:v>
      </x:c>
      <x:c r="Y203" s="24" t="str">
        <x:v>Non consignée</x:v>
      </x:c>
      <x:c r="Z203" s="24" t="str">
        <x:v>Périmée (0/6)</x:v>
      </x:c>
      <x:c r="AA203" s="23" t="str">
        <x:v>Compléter le pack ; consigner QA, accord et publication.</x:v>
      </x:c>
      <x:c r="AB203" s="21" t="str">
        <x:v>1a63ecf787bc8d20e322314e1ba17987c83b1198</x:v>
      </x:c>
      <x:c r="AC203" s="21" t="str">
        <x:v>À intégrer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À planifier</x:v>
      </x:c>
      <x:c r="E204" s="25" t="str">
        <x:v>Corps</x:v>
      </x:c>
      <x:c r="F204" s="24" t="str">
        <x:f>IF(AND(G204=8,COUNTIF(Q204:V204,"Atlas")=6),"Intégré","À faire")</x:f>
        <x:v>À faire</x:v>
      </x:c>
      <x:c r="G204" s="27" t="n">
        <x:f>COUNTIF(I204:P204,"Présent")</x:f>
        <x:v>0</x:v>
      </x:c>
      <x:c r="H204" s="24" t="str">
        <x:v>À assembler</x:v>
      </x:c>
      <x:c r="I204" s="24" t="str">
        <x:v>Référence</x:v>
      </x:c>
      <x:c r="J204" s="24" t="str">
        <x:v>Manquant</x:v>
      </x:c>
      <x:c r="K204" s="24" t="str">
        <x:v>Manquant</x:v>
      </x:c>
      <x:c r="L204" s="24" t="str">
        <x:v>Manquant</x:v>
      </x:c>
      <x:c r="M204" s="24" t="str">
        <x:v>Manquant</x:v>
      </x:c>
      <x:c r="N204" s="24" t="str">
        <x:v>Manquant</x:v>
      </x:c>
      <x:c r="O204" s="24" t="str">
        <x:v>Manquant</x:v>
      </x:c>
      <x:c r="P204" s="24" t="str">
        <x:v>Manquant</x:v>
      </x:c>
      <x:c r="Q204" s="24" t="str">
        <x:v>Commun</x:v>
      </x:c>
      <x:c r="R204" s="24" t="str">
        <x:v>Commun</x:v>
      </x:c>
      <x:c r="S204" s="24" t="str">
        <x:v>Commun</x:v>
      </x:c>
      <x:c r="T204" s="24" t="str">
        <x:v>Commun</x:v>
      </x:c>
      <x:c r="U204" s="24" t="str">
        <x:v>Commun</x:v>
      </x:c>
      <x:c r="V204" s="24" t="str">
        <x:v>Commun</x:v>
      </x:c>
      <x:c r="W204" s="24" t="str">
        <x:v>Non consignée</x:v>
      </x:c>
      <x:c r="X204" s="24" t="str">
        <x:v>Non consignée</x:v>
      </x:c>
      <x:c r="Y204" s="24" t="str">
        <x:v>Non consignée</x:v>
      </x:c>
      <x:c r="Z204" s="24" t="str">
        <x:v>Périmée (0/6)</x:v>
      </x:c>
      <x:c r="AA204" s="23" t="str">
        <x:v>Compléter le pack ; consigner QA, accord et publication.</x:v>
      </x:c>
      <x:c r="AB204" s="21" t="str">
        <x:v>1a63ecf787bc8d20e322314e1ba17987c83b1198</x:v>
      </x:c>
      <x:c r="AC204" s="21" t="str">
        <x:v>À intégrer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À planifier</x:v>
      </x:c>
      <x:c r="E205" s="25" t="str">
        <x:v>Actions</x:v>
      </x:c>
      <x:c r="F205" s="24" t="str">
        <x:f>IF(AND(G205=8,COUNTIF(Q205:V205,"Atlas")=6),"Intégré","À faire")</x:f>
        <x:v>À faire</x:v>
      </x:c>
      <x:c r="G205" s="27" t="n">
        <x:f>COUNTIF(I205:P205,"Présent")</x:f>
        <x:v>0</x:v>
      </x:c>
      <x:c r="H205" s="24" t="str">
        <x:v>À assembler</x:v>
      </x:c>
      <x:c r="I205" s="24" t="str">
        <x:v>Référence</x:v>
      </x:c>
      <x:c r="J205" s="24" t="str">
        <x:v>Manquant</x:v>
      </x:c>
      <x:c r="K205" s="24" t="str">
        <x:v>Manquant</x:v>
      </x:c>
      <x:c r="L205" s="24" t="str">
        <x:v>Manquant</x:v>
      </x:c>
      <x:c r="M205" s="24" t="str">
        <x:v>Manquant</x:v>
      </x:c>
      <x:c r="N205" s="24" t="str">
        <x:v>Manquant</x:v>
      </x:c>
      <x:c r="O205" s="24" t="str">
        <x:v>Manquant</x:v>
      </x:c>
      <x:c r="P205" s="24" t="str">
        <x:v>Manquant</x:v>
      </x:c>
      <x:c r="Q205" s="24" t="str">
        <x:v>Commun</x:v>
      </x:c>
      <x:c r="R205" s="24" t="str">
        <x:v>Commun</x:v>
      </x:c>
      <x:c r="S205" s="24" t="str">
        <x:v>Commun</x:v>
      </x:c>
      <x:c r="T205" s="24" t="str">
        <x:v>Commun</x:v>
      </x:c>
      <x:c r="U205" s="24" t="str">
        <x:v>Commun</x:v>
      </x:c>
      <x:c r="V205" s="24" t="str">
        <x:v>Commun</x:v>
      </x:c>
      <x:c r="W205" s="24" t="str">
        <x:v>Non consignée</x:v>
      </x:c>
      <x:c r="X205" s="24" t="str">
        <x:v>Non consignée</x:v>
      </x:c>
      <x:c r="Y205" s="24" t="str">
        <x:v>Non consignée</x:v>
      </x:c>
      <x:c r="Z205" s="24" t="str">
        <x:v>Périmée (0/6)</x:v>
      </x:c>
      <x:c r="AA205" s="23" t="str">
        <x:v>Compléter le pack ; consigner QA, accord et publication.</x:v>
      </x:c>
      <x:c r="AB205" s="21" t="str">
        <x:v>1a63ecf787bc8d20e322314e1ba17987c83b1198</x:v>
      </x:c>
      <x:c r="AC205" s="21" t="str">
        <x:v>À intégrer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À planifier</x:v>
      </x:c>
      <x:c r="E206" s="25" t="str">
        <x:v>Lieux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Commun</x:v>
      </x:c>
      <x:c r="R206" s="24" t="str">
        <x:v>Commun</x:v>
      </x:c>
      <x:c r="S206" s="24" t="str">
        <x:v>Commun</x:v>
      </x:c>
      <x:c r="T206" s="24" t="str">
        <x:v>Commun</x:v>
      </x:c>
      <x:c r="U206" s="24" t="str">
        <x:v>Commun</x:v>
      </x:c>
      <x:c r="V206" s="24" t="str">
        <x:v>Commun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Périmée (0/6)</x:v>
      </x:c>
      <x:c r="AA206" s="23" t="str">
        <x:v>Compléter le pack ; consigner QA, accord et publication.</x:v>
      </x:c>
      <x:c r="AB206" s="21" t="str">
        <x:v>1a63ecf787bc8d20e322314e1ba17987c83b1198</x:v>
      </x:c>
      <x:c r="AC206" s="21" t="str">
        <x:v>À intégrer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À planifier</x:v>
      </x:c>
      <x:c r="E207" s="25" t="str">
        <x:v>Lieux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Commun</x:v>
      </x:c>
      <x:c r="R207" s="24" t="str">
        <x:v>Commun</x:v>
      </x:c>
      <x:c r="S207" s="24" t="str">
        <x:v>Commun</x:v>
      </x:c>
      <x:c r="T207" s="24" t="str">
        <x:v>Commun</x:v>
      </x:c>
      <x:c r="U207" s="24" t="str">
        <x:v>Commun</x:v>
      </x:c>
      <x:c r="V207" s="24" t="str">
        <x:v>Commun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Périmée (0/6)</x:v>
      </x:c>
      <x:c r="AA207" s="23" t="str">
        <x:v>Compléter le pack ; consigner QA, accord et publication.</x:v>
      </x:c>
      <x:c r="AB207" s="21" t="str">
        <x:v>1a63ecf787bc8d20e322314e1ba17987c83b1198</x:v>
      </x:c>
      <x:c r="AC207" s="21" t="str">
        <x:v>À intégrer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Lot 08</x:v>
      </x:c>
      <x:c r="E208" s="25" t="str">
        <x:v>Actions</x:v>
      </x:c>
      <x:c r="F208" s="24" t="str">
        <x:f>IF(AND(G208=8,COUNTIF(Q208:V208,"Atlas")=6),"Intégré","À faire")</x:f>
        <x:v>Intégré</x:v>
      </x:c>
      <x:c r="G208" s="27" t="n">
        <x:f>COUNTIF(I208:P208,"Présent")</x:f>
        <x:v>8</x:v>
      </x:c>
      <x:c r="H208" s="24" t="str">
        <x:v>Archivé Drive</x:v>
      </x:c>
      <x:c r="I208" s="24" t="str">
        <x:v>Présent</x:v>
      </x:c>
      <x:c r="J208" s="24" t="str">
        <x:v>Présent</x:v>
      </x:c>
      <x:c r="K208" s="24" t="str">
        <x:v>Présent</x:v>
      </x:c>
      <x:c r="L208" s="24" t="str">
        <x:v>Présent</x:v>
      </x:c>
      <x:c r="M208" s="24" t="str">
        <x:v>Présent</x:v>
      </x:c>
      <x:c r="N208" s="24" t="str">
        <x:v>Présent</x:v>
      </x:c>
      <x:c r="O208" s="24" t="str">
        <x:v>Présent</x:v>
      </x:c>
      <x:c r="P208" s="24" t="str">
        <x:v>Présent</x:v>
      </x:c>
      <x:c r="Q208" s="24" t="str">
        <x:v>Atlas</x:v>
      </x:c>
      <x:c r="R208" s="24" t="str">
        <x:v>Atlas</x:v>
      </x:c>
      <x:c r="S208" s="24" t="str">
        <x:v>Atlas</x:v>
      </x:c>
      <x:c r="T208" s="24" t="str">
        <x:v>Atlas</x:v>
      </x:c>
      <x:c r="U208" s="24" t="str">
        <x:v>Atlas</x:v>
      </x:c>
      <x:c r="V208" s="24" t="str">
        <x:v>Atlas</x:v>
      </x:c>
      <x:c r="W208" s="24" t="str">
        <x:v>6/6 actuelles</x:v>
      </x:c>
      <x:c r="X208" s="24" t="str">
        <x:v>6/6 actuelles</x:v>
      </x:c>
      <x:c r="Y208" s="24" t="str">
        <x:v>Non consignée</x:v>
      </x:c>
      <x:c r="Z208" s="24" t="str">
        <x:v>Périmée (0/6)</x:v>
      </x:c>
      <x:c r="AA208" s="23" t="str">
        <x:v>Accord et publication du lot non consignés.</x:v>
      </x:c>
      <x:c r="AB208" s="21" t="str">
        <x:v>9184f780a23f21687350020fa3448d58e4e0aadd</x:v>
      </x:c>
      <x:c r="AC208" s="21" t="str">
        <x:v>En cours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À planifier</x:v>
      </x:c>
      <x:c r="E209" s="25" t="str">
        <x:v>Animaux</x:v>
      </x:c>
      <x:c r="F209" s="24" t="str">
        <x:f>IF(AND(G209=8,COUNTIF(Q209:V209,"Atlas")=6),"Intégré","À faire")</x:f>
        <x:v>À faire</x:v>
      </x:c>
      <x:c r="G209" s="27" t="n">
        <x:f>COUNTIF(I209:P209,"Présent")</x:f>
        <x:v>0</x:v>
      </x:c>
      <x:c r="H209" s="24" t="str">
        <x:v>À assembler</x:v>
      </x:c>
      <x:c r="I209" s="24" t="str">
        <x:v>Référence</x:v>
      </x:c>
      <x:c r="J209" s="24" t="str">
        <x:v>Manquant</x:v>
      </x:c>
      <x:c r="K209" s="24" t="str">
        <x:v>Manquant</x:v>
      </x:c>
      <x:c r="L209" s="24" t="str">
        <x:v>Manquant</x:v>
      </x:c>
      <x:c r="M209" s="24" t="str">
        <x:v>Manquant</x:v>
      </x:c>
      <x:c r="N209" s="24" t="str">
        <x:v>Manquant</x:v>
      </x:c>
      <x:c r="O209" s="24" t="str">
        <x:v>Manquant</x:v>
      </x:c>
      <x:c r="P209" s="24" t="str">
        <x:v>Manquant</x:v>
      </x:c>
      <x:c r="Q209" s="24" t="str">
        <x:v>Commun</x:v>
      </x:c>
      <x:c r="R209" s="24" t="str">
        <x:v>Commun</x:v>
      </x:c>
      <x:c r="S209" s="24" t="str">
        <x:v>Commun</x:v>
      </x:c>
      <x:c r="T209" s="24" t="str">
        <x:v>Commun</x:v>
      </x:c>
      <x:c r="U209" s="24" t="str">
        <x:v>Commun</x:v>
      </x:c>
      <x:c r="V209" s="24" t="str">
        <x:v>Commun</x:v>
      </x:c>
      <x:c r="W209" s="24" t="str">
        <x:v>Non consignée</x:v>
      </x:c>
      <x:c r="X209" s="24" t="str">
        <x:v>Non consignée</x:v>
      </x:c>
      <x:c r="Y209" s="24" t="str">
        <x:v>Non consignée</x:v>
      </x:c>
      <x:c r="Z209" s="24" t="str">
        <x:v>Périmée (0/6)</x:v>
      </x:c>
      <x:c r="AA209" s="23" t="str">
        <x:v>Compléter le pack ; consigner QA, accord et publication.</x:v>
      </x:c>
      <x:c r="AB209" s="21" t="str">
        <x:v>1a63ecf787bc8d20e322314e1ba17987c83b1198</x:v>
      </x:c>
      <x:c r="AC209" s="21" t="str">
        <x:v>À intégrer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À planifier</x:v>
      </x:c>
      <x:c r="E210" s="25" t="str">
        <x:v>Personnes</x:v>
      </x:c>
      <x:c r="F210" s="24" t="str">
        <x:f>IF(AND(G210=8,COUNTIF(Q210:V210,"Atlas")=6),"Intégré","À faire")</x:f>
        <x:v>À faire</x:v>
      </x:c>
      <x:c r="G210" s="27" t="n">
        <x:f>COUNTIF(I210:P210,"Présent")</x:f>
        <x:v>0</x:v>
      </x:c>
      <x:c r="H210" s="24" t="str">
        <x:v>À assembler</x:v>
      </x:c>
      <x:c r="I210" s="24" t="str">
        <x:v>Référence</x:v>
      </x:c>
      <x:c r="J210" s="24" t="str">
        <x:v>Manquant</x:v>
      </x:c>
      <x:c r="K210" s="24" t="str">
        <x:v>Manquant</x:v>
      </x:c>
      <x:c r="L210" s="24" t="str">
        <x:v>Manquant</x:v>
      </x:c>
      <x:c r="M210" s="24" t="str">
        <x:v>Manquant</x:v>
      </x:c>
      <x:c r="N210" s="24" t="str">
        <x:v>Manquant</x:v>
      </x:c>
      <x:c r="O210" s="24" t="str">
        <x:v>Manquant</x:v>
      </x:c>
      <x:c r="P210" s="24" t="str">
        <x:v>Manquant</x:v>
      </x:c>
      <x:c r="Q210" s="24" t="str">
        <x:v>Commun</x:v>
      </x:c>
      <x:c r="R210" s="24" t="str">
        <x:v>Commun</x:v>
      </x:c>
      <x:c r="S210" s="24" t="str">
        <x:v>Commun</x:v>
      </x:c>
      <x:c r="T210" s="24" t="str">
        <x:v>Commun</x:v>
      </x:c>
      <x:c r="U210" s="24" t="str">
        <x:v>Commun</x:v>
      </x:c>
      <x:c r="V210" s="24" t="str">
        <x:v>Commun</x:v>
      </x:c>
      <x:c r="W210" s="24" t="str">
        <x:v>Non consignée</x:v>
      </x:c>
      <x:c r="X210" s="24" t="str">
        <x:v>Non consignée</x:v>
      </x:c>
      <x:c r="Y210" s="24" t="str">
        <x:v>Non consignée</x:v>
      </x:c>
      <x:c r="Z210" s="24" t="str">
        <x:v>Périmée (0/6)</x:v>
      </x:c>
      <x:c r="AA210" s="23" t="str">
        <x:v>Compléter le pack ; consigner QA, accord et publication.</x:v>
      </x:c>
      <x:c r="AB210" s="21" t="str">
        <x:v>1a63ecf787bc8d20e322314e1ba17987c83b1198</x:v>
      </x:c>
      <x:c r="AC210" s="21" t="str">
        <x:v>À intégrer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À planifier</x:v>
      </x:c>
      <x:c r="E211" s="25" t="str">
        <x:v>Objets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Périmée (0/6)</x:v>
      </x:c>
      <x:c r="AA211" s="23" t="str">
        <x:v>Compléter le pack ; consigner QA, accord et publication.</x:v>
      </x:c>
      <x:c r="AB211" s="21" t="str">
        <x:v>1a63ecf787bc8d20e322314e1ba17987c83b1198</x:v>
      </x:c>
      <x:c r="AC211" s="21" t="str">
        <x:v>À intégrer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À planifier</x:v>
      </x:c>
      <x:c r="E212" s="25" t="str">
        <x:v>Objets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Périmée (0/6)</x:v>
      </x:c>
      <x:c r="AA212" s="23" t="str">
        <x:v>Compléter le pack ; consigner QA, accord et publication.</x:v>
      </x:c>
      <x:c r="AB212" s="21" t="str">
        <x:v>1a63ecf787bc8d20e322314e1ba17987c83b1198</x:v>
      </x:c>
      <x:c r="AC212" s="21" t="str">
        <x:v>À intégrer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Lot 08</x:v>
      </x:c>
      <x:c r="E213" s="25" t="str">
        <x:v>Actions</x:v>
      </x:c>
      <x:c r="F213" s="24" t="str">
        <x:f>IF(AND(G213=8,COUNTIF(Q213:V213,"Atlas")=6),"Intégré","À faire")</x:f>
        <x:v>Intégré</x:v>
      </x:c>
      <x:c r="G213" s="27" t="n">
        <x:f>COUNTIF(I213:P213,"Présent")</x:f>
        <x:v>8</x:v>
      </x:c>
      <x:c r="H213" s="24" t="str">
        <x:v>Archivé Drive</x:v>
      </x:c>
      <x:c r="I213" s="24" t="str">
        <x:v>Présent</x:v>
      </x:c>
      <x:c r="J213" s="24" t="str">
        <x:v>Présent</x:v>
      </x:c>
      <x:c r="K213" s="24" t="str">
        <x:v>Présent</x:v>
      </x:c>
      <x:c r="L213" s="24" t="str">
        <x:v>Présent</x:v>
      </x:c>
      <x:c r="M213" s="24" t="str">
        <x:v>Présent</x:v>
      </x:c>
      <x:c r="N213" s="24" t="str">
        <x:v>Présent</x:v>
      </x:c>
      <x:c r="O213" s="24" t="str">
        <x:v>Présent</x:v>
      </x:c>
      <x:c r="P213" s="24" t="str">
        <x:v>Présent</x:v>
      </x:c>
      <x:c r="Q213" s="24" t="str">
        <x:v>Atlas</x:v>
      </x:c>
      <x:c r="R213" s="24" t="str">
        <x:v>Atlas</x:v>
      </x:c>
      <x:c r="S213" s="24" t="str">
        <x:v>Atlas</x:v>
      </x:c>
      <x:c r="T213" s="24" t="str">
        <x:v>Atlas</x:v>
      </x:c>
      <x:c r="U213" s="24" t="str">
        <x:v>Atlas</x:v>
      </x:c>
      <x:c r="V213" s="24" t="str">
        <x:v>Atlas</x:v>
      </x:c>
      <x:c r="W213" s="24" t="str">
        <x:v>6/6 actuelles</x:v>
      </x:c>
      <x:c r="X213" s="24" t="str">
        <x:v>6/6 actuelles</x:v>
      </x:c>
      <x:c r="Y213" s="24" t="str">
        <x:v>Non consignée</x:v>
      </x:c>
      <x:c r="Z213" s="24" t="str">
        <x:v>Périmée (0/6)</x:v>
      </x:c>
      <x:c r="AA213" s="23" t="str">
        <x:v>Accord et publication du lot non consignés.</x:v>
      </x:c>
      <x:c r="AB213" s="21" t="str">
        <x:v>9184f780a23f21687350020fa3448d58e4e0aadd</x:v>
      </x:c>
      <x:c r="AC213" s="21" t="str">
        <x:v>En cours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À planifier</x:v>
      </x:c>
      <x:c r="E214" s="25" t="str">
        <x:v>Animaux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Commun</x:v>
      </x:c>
      <x:c r="R214" s="24" t="str">
        <x:v>Commun</x:v>
      </x:c>
      <x:c r="S214" s="24" t="str">
        <x:v>Commun</x:v>
      </x:c>
      <x:c r="T214" s="24" t="str">
        <x:v>Commun</x:v>
      </x:c>
      <x:c r="U214" s="24" t="str">
        <x:v>Commun</x:v>
      </x:c>
      <x:c r="V214" s="24" t="str">
        <x:v>Commun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Périmée (0/6)</x:v>
      </x:c>
      <x:c r="AA214" s="23" t="str">
        <x:v>Compléter le pack ; consigner QA, accord et publication.</x:v>
      </x:c>
      <x:c r="AB214" s="21" t="str">
        <x:v>1a63ecf787bc8d20e322314e1ba17987c83b1198</x:v>
      </x:c>
      <x:c r="AC214" s="21" t="str">
        <x:v>À intégrer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À planifier</x:v>
      </x:c>
      <x:c r="E215" s="25" t="str">
        <x:v>Lieux</x:v>
      </x:c>
      <x:c r="F215" s="24" t="str">
        <x:f>IF(AND(G215=8,COUNTIF(Q215:V215,"Atlas")=6),"Intégré","À faire")</x:f>
        <x:v>À faire</x:v>
      </x:c>
      <x:c r="G215" s="27" t="n">
        <x:f>COUNTIF(I215:P215,"Présent")</x:f>
        <x:v>0</x:v>
      </x:c>
      <x:c r="H215" s="24" t="str">
        <x:v>À assembler</x:v>
      </x:c>
      <x:c r="I215" s="24" t="str">
        <x:v>Référence</x:v>
      </x:c>
      <x:c r="J215" s="24" t="str">
        <x:v>Manquant</x:v>
      </x:c>
      <x:c r="K215" s="24" t="str">
        <x:v>Manquant</x:v>
      </x:c>
      <x:c r="L215" s="24" t="str">
        <x:v>Manquant</x:v>
      </x:c>
      <x:c r="M215" s="24" t="str">
        <x:v>Manquant</x:v>
      </x:c>
      <x:c r="N215" s="24" t="str">
        <x:v>Manquant</x:v>
      </x:c>
      <x:c r="O215" s="24" t="str">
        <x:v>Manquant</x:v>
      </x:c>
      <x:c r="P215" s="24" t="str">
        <x:v>Manquant</x:v>
      </x:c>
      <x:c r="Q215" s="24" t="str">
        <x:v>Commun</x:v>
      </x:c>
      <x:c r="R215" s="24" t="str">
        <x:v>Commun</x:v>
      </x:c>
      <x:c r="S215" s="24" t="str">
        <x:v>Commun</x:v>
      </x:c>
      <x:c r="T215" s="24" t="str">
        <x:v>Commun</x:v>
      </x:c>
      <x:c r="U215" s="24" t="str">
        <x:v>Commun</x:v>
      </x:c>
      <x:c r="V215" s="24" t="str">
        <x:v>Commun</x:v>
      </x:c>
      <x:c r="W215" s="24" t="str">
        <x:v>Non consignée</x:v>
      </x:c>
      <x:c r="X215" s="24" t="str">
        <x:v>Non consignée</x:v>
      </x:c>
      <x:c r="Y215" s="24" t="str">
        <x:v>Non consignée</x:v>
      </x:c>
      <x:c r="Z215" s="24" t="str">
        <x:v>Périmée (0/6)</x:v>
      </x:c>
      <x:c r="AA215" s="23" t="str">
        <x:v>Compléter le pack ; consigner QA, accord et publication.</x:v>
      </x:c>
      <x:c r="AB215" s="21" t="str">
        <x:v>1a63ecf787bc8d20e322314e1ba17987c83b1198</x:v>
      </x:c>
      <x:c r="AC215" s="21" t="str">
        <x:v>À intégrer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À planifier</x:v>
      </x:c>
      <x:c r="E216" s="25" t="str">
        <x:v>Personnes</x:v>
      </x:c>
      <x:c r="F216" s="24" t="str">
        <x:f>IF(AND(G216=8,COUNTIF(Q216:V216,"Atlas")=6),"Intégré","À faire")</x:f>
        <x:v>À faire</x:v>
      </x:c>
      <x:c r="G216" s="27" t="n">
        <x:f>COUNTIF(I216:P216,"Présent")</x:f>
        <x:v>0</x:v>
      </x:c>
      <x:c r="H216" s="24" t="str">
        <x:v>À assembler</x:v>
      </x:c>
      <x:c r="I216" s="24" t="str">
        <x:v>Référence</x:v>
      </x:c>
      <x:c r="J216" s="24" t="str">
        <x:v>Manquant</x:v>
      </x:c>
      <x:c r="K216" s="24" t="str">
        <x:v>Manquant</x:v>
      </x:c>
      <x:c r="L216" s="24" t="str">
        <x:v>Manquant</x:v>
      </x:c>
      <x:c r="M216" s="24" t="str">
        <x:v>Manquant</x:v>
      </x:c>
      <x:c r="N216" s="24" t="str">
        <x:v>Manquant</x:v>
      </x:c>
      <x:c r="O216" s="24" t="str">
        <x:v>Manquant</x:v>
      </x:c>
      <x:c r="P216" s="24" t="str">
        <x:v>Manquant</x:v>
      </x:c>
      <x:c r="Q216" s="24" t="str">
        <x:v>Commun</x:v>
      </x:c>
      <x:c r="R216" s="24" t="str">
        <x:v>Commun</x:v>
      </x:c>
      <x:c r="S216" s="24" t="str">
        <x:v>Commun</x:v>
      </x:c>
      <x:c r="T216" s="24" t="str">
        <x:v>Commun</x:v>
      </x:c>
      <x:c r="U216" s="24" t="str">
        <x:v>Commun</x:v>
      </x:c>
      <x:c r="V216" s="24" t="str">
        <x:v>Commun</x:v>
      </x:c>
      <x:c r="W216" s="24" t="str">
        <x:v>Non consignée</x:v>
      </x:c>
      <x:c r="X216" s="24" t="str">
        <x:v>Non consignée</x:v>
      </x:c>
      <x:c r="Y216" s="24" t="str">
        <x:v>Non consignée</x:v>
      </x:c>
      <x:c r="Z216" s="24" t="str">
        <x:v>Périmée (0/6)</x:v>
      </x:c>
      <x:c r="AA216" s="23" t="str">
        <x:v>Compléter le pack ; consigner QA, accord et publication.</x:v>
      </x:c>
      <x:c r="AB216" s="21" t="str">
        <x:v>1a63ecf787bc8d20e322314e1ba17987c83b1198</x:v>
      </x:c>
      <x:c r="AC216" s="21" t="str">
        <x:v>À intégrer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À planifier</x:v>
      </x:c>
      <x:c r="E217" s="25" t="str">
        <x:v>Animaux</x:v>
      </x:c>
      <x:c r="F217" s="24" t="str">
        <x:f>IF(AND(G217=8,COUNTIF(Q217:V217,"Atlas")=6),"Intégré","À faire")</x:f>
        <x:v>À faire</x:v>
      </x:c>
      <x:c r="G217" s="27" t="n">
        <x:f>COUNTIF(I217:P217,"Présent")</x:f>
        <x:v>0</x:v>
      </x:c>
      <x:c r="H217" s="24" t="str">
        <x:v>À assembler</x:v>
      </x:c>
      <x:c r="I217" s="24" t="str">
        <x:v>Référence</x:v>
      </x:c>
      <x:c r="J217" s="24" t="str">
        <x:v>Manquant</x:v>
      </x:c>
      <x:c r="K217" s="24" t="str">
        <x:v>Manquant</x:v>
      </x:c>
      <x:c r="L217" s="24" t="str">
        <x:v>Manquant</x:v>
      </x:c>
      <x:c r="M217" s="24" t="str">
        <x:v>Manquant</x:v>
      </x:c>
      <x:c r="N217" s="24" t="str">
        <x:v>Manquant</x:v>
      </x:c>
      <x:c r="O217" s="24" t="str">
        <x:v>Manquant</x:v>
      </x:c>
      <x:c r="P217" s="24" t="str">
        <x:v>Manquant</x:v>
      </x:c>
      <x:c r="Q217" s="24" t="str">
        <x:v>Commun</x:v>
      </x:c>
      <x:c r="R217" s="24" t="str">
        <x:v>Commun</x:v>
      </x:c>
      <x:c r="S217" s="24" t="str">
        <x:v>Commun</x:v>
      </x:c>
      <x:c r="T217" s="24" t="str">
        <x:v>Commun</x:v>
      </x:c>
      <x:c r="U217" s="24" t="str">
        <x:v>Commun</x:v>
      </x:c>
      <x:c r="V217" s="24" t="str">
        <x:v>Commun</x:v>
      </x:c>
      <x:c r="W217" s="24" t="str">
        <x:v>Non consignée</x:v>
      </x:c>
      <x:c r="X217" s="24" t="str">
        <x:v>Non consignée</x:v>
      </x:c>
      <x:c r="Y217" s="24" t="str">
        <x:v>Non consignée</x:v>
      </x:c>
      <x:c r="Z217" s="24" t="str">
        <x:v>Périmée (0/6)</x:v>
      </x:c>
      <x:c r="AA217" s="23" t="str">
        <x:v>Compléter le pack ; consigner QA, accord et publication.</x:v>
      </x:c>
      <x:c r="AB217" s="21" t="str">
        <x:v>1a63ecf787bc8d20e322314e1ba17987c83b1198</x:v>
      </x:c>
      <x:c r="AC217" s="21" t="str">
        <x:v>À intégrer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À planifier</x:v>
      </x:c>
      <x:c r="E218" s="25" t="str">
        <x:v>Actions</x:v>
      </x:c>
      <x:c r="F218" s="24" t="str">
        <x:f>IF(AND(G218=8,COUNTIF(Q218:V218,"Atlas")=6),"Intégré","À faire")</x:f>
        <x:v>À faire</x:v>
      </x:c>
      <x:c r="G218" s="27" t="n">
        <x:f>COUNTIF(I218:P218,"Présent")</x:f>
        <x:v>0</x:v>
      </x:c>
      <x:c r="H218" s="24" t="str">
        <x:v>À assembler</x:v>
      </x:c>
      <x:c r="I218" s="24" t="str">
        <x:v>Référence</x:v>
      </x:c>
      <x:c r="J218" s="24" t="str">
        <x:v>Manquant</x:v>
      </x:c>
      <x:c r="K218" s="24" t="str">
        <x:v>Manquant</x:v>
      </x:c>
      <x:c r="L218" s="24" t="str">
        <x:v>Manquant</x:v>
      </x:c>
      <x:c r="M218" s="24" t="str">
        <x:v>Manquant</x:v>
      </x:c>
      <x:c r="N218" s="24" t="str">
        <x:v>Manquant</x:v>
      </x:c>
      <x:c r="O218" s="24" t="str">
        <x:v>Manquant</x:v>
      </x:c>
      <x:c r="P218" s="24" t="str">
        <x:v>Manquant</x:v>
      </x:c>
      <x:c r="Q218" s="24" t="str">
        <x:v>Commun</x:v>
      </x:c>
      <x:c r="R218" s="24" t="str">
        <x:v>Commun</x:v>
      </x:c>
      <x:c r="S218" s="24" t="str">
        <x:v>Commun</x:v>
      </x:c>
      <x:c r="T218" s="24" t="str">
        <x:v>Commun</x:v>
      </x:c>
      <x:c r="U218" s="24" t="str">
        <x:v>Commun</x:v>
      </x:c>
      <x:c r="V218" s="24" t="str">
        <x:v>Commun</x:v>
      </x:c>
      <x:c r="W218" s="24" t="str">
        <x:v>Non consignée</x:v>
      </x:c>
      <x:c r="X218" s="24" t="str">
        <x:v>Non consignée</x:v>
      </x:c>
      <x:c r="Y218" s="24" t="str">
        <x:v>Non consignée</x:v>
      </x:c>
      <x:c r="Z218" s="24" t="str">
        <x:v>Périmée (0/6)</x:v>
      </x:c>
      <x:c r="AA218" s="23" t="str">
        <x:v>Compléter le pack ; consigner QA, accord et publication.</x:v>
      </x:c>
      <x:c r="AB218" s="21" t="str">
        <x:v>1a63ecf787bc8d20e322314e1ba17987c83b1198</x:v>
      </x:c>
      <x:c r="AC218" s="21" t="str">
        <x:v>À intégrer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À planifier</x:v>
      </x:c>
      <x:c r="E219" s="25" t="str">
        <x:v>Animaux</x:v>
      </x:c>
      <x:c r="F219" s="24" t="str">
        <x:f>IF(AND(G219=8,COUNTIF(Q219:V219,"Atlas")=6),"Intégré","À faire")</x:f>
        <x:v>À faire</x:v>
      </x:c>
      <x:c r="G219" s="27" t="n">
        <x:f>COUNTIF(I219:P219,"Présent")</x:f>
        <x:v>0</x:v>
      </x:c>
      <x:c r="H219" s="24" t="str">
        <x:v>À assembler</x:v>
      </x:c>
      <x:c r="I219" s="24" t="str">
        <x:v>Référence</x:v>
      </x:c>
      <x:c r="J219" s="24" t="str">
        <x:v>Manquant</x:v>
      </x:c>
      <x:c r="K219" s="24" t="str">
        <x:v>Manquant</x:v>
      </x:c>
      <x:c r="L219" s="24" t="str">
        <x:v>Manquant</x:v>
      </x:c>
      <x:c r="M219" s="24" t="str">
        <x:v>Manquant</x:v>
      </x:c>
      <x:c r="N219" s="24" t="str">
        <x:v>Manquant</x:v>
      </x:c>
      <x:c r="O219" s="24" t="str">
        <x:v>Manquant</x:v>
      </x:c>
      <x:c r="P219" s="24" t="str">
        <x:v>Manquant</x:v>
      </x:c>
      <x:c r="Q219" s="24" t="str">
        <x:v>Commun</x:v>
      </x:c>
      <x:c r="R219" s="24" t="str">
        <x:v>Commun</x:v>
      </x:c>
      <x:c r="S219" s="24" t="str">
        <x:v>Commun</x:v>
      </x:c>
      <x:c r="T219" s="24" t="str">
        <x:v>Commun</x:v>
      </x:c>
      <x:c r="U219" s="24" t="str">
        <x:v>Commun</x:v>
      </x:c>
      <x:c r="V219" s="24" t="str">
        <x:v>Commun</x:v>
      </x:c>
      <x:c r="W219" s="24" t="str">
        <x:v>Non consignée</x:v>
      </x:c>
      <x:c r="X219" s="24" t="str">
        <x:v>Non consignée</x:v>
      </x:c>
      <x:c r="Y219" s="24" t="str">
        <x:v>Non consignée</x:v>
      </x:c>
      <x:c r="Z219" s="24" t="str">
        <x:v>Périmée (0/6)</x:v>
      </x:c>
      <x:c r="AA219" s="23" t="str">
        <x:v>Compléter le pack ; consigner QA, accord et publication.</x:v>
      </x:c>
      <x:c r="AB219" s="21" t="str">
        <x:v>1a63ecf787bc8d20e322314e1ba17987c83b1198</x:v>
      </x:c>
      <x:c r="AC219" s="21" t="str">
        <x:v>À intégrer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À planifier</x:v>
      </x:c>
      <x:c r="E220" s="25" t="str">
        <x:v>Nature</x:v>
      </x:c>
      <x:c r="F220" s="24" t="str">
        <x:f>IF(AND(G220=8,COUNTIF(Q220:V220,"Atlas")=6),"Intégré","À faire")</x:f>
        <x:v>À faire</x:v>
      </x:c>
      <x:c r="G220" s="27" t="n">
        <x:f>COUNTIF(I220:P220,"Présent")</x:f>
        <x:v>0</x:v>
      </x:c>
      <x:c r="H220" s="24" t="str">
        <x:v>À assembler</x:v>
      </x:c>
      <x:c r="I220" s="24" t="str">
        <x:v>Référence</x:v>
      </x:c>
      <x:c r="J220" s="24" t="str">
        <x:v>Manquant</x:v>
      </x:c>
      <x:c r="K220" s="24" t="str">
        <x:v>Manquant</x:v>
      </x:c>
      <x:c r="L220" s="24" t="str">
        <x:v>Manquant</x:v>
      </x:c>
      <x:c r="M220" s="24" t="str">
        <x:v>Manquant</x:v>
      </x:c>
      <x:c r="N220" s="24" t="str">
        <x:v>Manquant</x:v>
      </x:c>
      <x:c r="O220" s="24" t="str">
        <x:v>Manquant</x:v>
      </x:c>
      <x:c r="P220" s="24" t="str">
        <x:v>Manquant</x:v>
      </x:c>
      <x:c r="Q220" s="24" t="str">
        <x:v>Commun</x:v>
      </x:c>
      <x:c r="R220" s="24" t="str">
        <x:v>Commun</x:v>
      </x:c>
      <x:c r="S220" s="24" t="str">
        <x:v>Commun</x:v>
      </x:c>
      <x:c r="T220" s="24" t="str">
        <x:v>Commun</x:v>
      </x:c>
      <x:c r="U220" s="24" t="str">
        <x:v>Commun</x:v>
      </x:c>
      <x:c r="V220" s="24" t="str">
        <x:v>Commun</x:v>
      </x:c>
      <x:c r="W220" s="24" t="str">
        <x:v>Non consignée</x:v>
      </x:c>
      <x:c r="X220" s="24" t="str">
        <x:v>Non consignée</x:v>
      </x:c>
      <x:c r="Y220" s="24" t="str">
        <x:v>Non consignée</x:v>
      </x:c>
      <x:c r="Z220" s="24" t="str">
        <x:v>Périmée (0/6)</x:v>
      </x:c>
      <x:c r="AA220" s="23" t="str">
        <x:v>Compléter le pack ; consigner QA, accord et publication.</x:v>
      </x:c>
      <x:c r="AB220" s="21" t="str">
        <x:v>1a63ecf787bc8d20e322314e1ba17987c83b1198</x:v>
      </x:c>
      <x:c r="AC220" s="21" t="str">
        <x:v>À intégrer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À planifier</x:v>
      </x:c>
      <x:c r="E221" s="25" t="str">
        <x:v>Nature</x:v>
      </x:c>
      <x:c r="F221" s="24" t="str">
        <x:f>IF(AND(G221=8,COUNTIF(Q221:V221,"Atlas")=6),"Intégré","À faire")</x:f>
        <x:v>À faire</x:v>
      </x:c>
      <x:c r="G221" s="27" t="n">
        <x:f>COUNTIF(I221:P221,"Présent")</x:f>
        <x:v>0</x:v>
      </x:c>
      <x:c r="H221" s="24" t="str">
        <x:v>À assembler</x:v>
      </x:c>
      <x:c r="I221" s="24" t="str">
        <x:v>Référence</x:v>
      </x:c>
      <x:c r="J221" s="24" t="str">
        <x:v>Manquant</x:v>
      </x:c>
      <x:c r="K221" s="24" t="str">
        <x:v>Manquant</x:v>
      </x:c>
      <x:c r="L221" s="24" t="str">
        <x:v>Manquant</x:v>
      </x:c>
      <x:c r="M221" s="24" t="str">
        <x:v>Manquant</x:v>
      </x:c>
      <x:c r="N221" s="24" t="str">
        <x:v>Manquant</x:v>
      </x:c>
      <x:c r="O221" s="24" t="str">
        <x:v>Manquant</x:v>
      </x:c>
      <x:c r="P221" s="24" t="str">
        <x:v>Manquant</x:v>
      </x:c>
      <x:c r="Q221" s="24" t="str">
        <x:v>Commun</x:v>
      </x:c>
      <x:c r="R221" s="24" t="str">
        <x:v>Commun</x:v>
      </x:c>
      <x:c r="S221" s="24" t="str">
        <x:v>Commun</x:v>
      </x:c>
      <x:c r="T221" s="24" t="str">
        <x:v>Commun</x:v>
      </x:c>
      <x:c r="U221" s="24" t="str">
        <x:v>Commun</x:v>
      </x:c>
      <x:c r="V221" s="24" t="str">
        <x:v>Commun</x:v>
      </x:c>
      <x:c r="W221" s="24" t="str">
        <x:v>Non consignée</x:v>
      </x:c>
      <x:c r="X221" s="24" t="str">
        <x:v>Non consignée</x:v>
      </x:c>
      <x:c r="Y221" s="24" t="str">
        <x:v>Non consignée</x:v>
      </x:c>
      <x:c r="Z221" s="24" t="str">
        <x:v>Périmée (0/6)</x:v>
      </x:c>
      <x:c r="AA221" s="23" t="str">
        <x:v>Compléter le pack ; consigner QA, accord et publication.</x:v>
      </x:c>
      <x:c r="AB221" s="21" t="str">
        <x:v>1a63ecf787bc8d20e322314e1ba17987c83b1198</x:v>
      </x:c>
      <x:c r="AC221" s="21" t="str">
        <x:v>À intégrer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À planifier</x:v>
      </x:c>
      <x:c r="E222" s="25" t="str">
        <x:v>Lieux</x:v>
      </x:c>
      <x:c r="F222" s="24" t="str">
        <x:f>IF(AND(G222=8,COUNTIF(Q222:V222,"Atlas")=6),"Intégré","À faire")</x:f>
        <x:v>À faire</x:v>
      </x:c>
      <x:c r="G222" s="27" t="n">
        <x:f>COUNTIF(I222:P222,"Présent")</x:f>
        <x:v>0</x:v>
      </x:c>
      <x:c r="H222" s="24" t="str">
        <x:v>À assembler</x:v>
      </x:c>
      <x:c r="I222" s="24" t="str">
        <x:v>Référence</x:v>
      </x:c>
      <x:c r="J222" s="24" t="str">
        <x:v>Manquant</x:v>
      </x:c>
      <x:c r="K222" s="24" t="str">
        <x:v>Manquant</x:v>
      </x:c>
      <x:c r="L222" s="24" t="str">
        <x:v>Manquant</x:v>
      </x:c>
      <x:c r="M222" s="24" t="str">
        <x:v>Manquant</x:v>
      </x:c>
      <x:c r="N222" s="24" t="str">
        <x:v>Manquant</x:v>
      </x:c>
      <x:c r="O222" s="24" t="str">
        <x:v>Manquant</x:v>
      </x:c>
      <x:c r="P222" s="24" t="str">
        <x:v>Manquant</x:v>
      </x:c>
      <x:c r="Q222" s="24" t="str">
        <x:v>Commun</x:v>
      </x:c>
      <x:c r="R222" s="24" t="str">
        <x:v>Commun</x:v>
      </x:c>
      <x:c r="S222" s="24" t="str">
        <x:v>Commun</x:v>
      </x:c>
      <x:c r="T222" s="24" t="str">
        <x:v>Commun</x:v>
      </x:c>
      <x:c r="U222" s="24" t="str">
        <x:v>Commun</x:v>
      </x:c>
      <x:c r="V222" s="24" t="str">
        <x:v>Commun</x:v>
      </x:c>
      <x:c r="W222" s="24" t="str">
        <x:v>Non consignée</x:v>
      </x:c>
      <x:c r="X222" s="24" t="str">
        <x:v>Non consignée</x:v>
      </x:c>
      <x:c r="Y222" s="24" t="str">
        <x:v>Non consignée</x:v>
      </x:c>
      <x:c r="Z222" s="24" t="str">
        <x:v>Périmée (0/6)</x:v>
      </x:c>
      <x:c r="AA222" s="23" t="str">
        <x:v>Compléter le pack ; consigner QA, accord et publication.</x:v>
      </x:c>
      <x:c r="AB222" s="21" t="str">
        <x:v>1a63ecf787bc8d20e322314e1ba17987c83b1198</x:v>
      </x:c>
      <x:c r="AC222" s="21" t="str">
        <x:v>À intégrer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À planifier</x:v>
      </x:c>
      <x:c r="E223" s="25" t="str">
        <x:v>Actions</x:v>
      </x:c>
      <x:c r="F223" s="24" t="str">
        <x:f>IF(AND(G223=8,COUNTIF(Q223:V223,"Atlas")=6),"Intégré","À faire")</x:f>
        <x:v>À faire</x:v>
      </x:c>
      <x:c r="G223" s="27" t="n">
        <x:f>COUNTIF(I223:P223,"Présent")</x:f>
        <x:v>0</x:v>
      </x:c>
      <x:c r="H223" s="24" t="str">
        <x:v>À assembler</x:v>
      </x:c>
      <x:c r="I223" s="24" t="str">
        <x:v>Référence</x:v>
      </x:c>
      <x:c r="J223" s="24" t="str">
        <x:v>Manquant</x:v>
      </x:c>
      <x:c r="K223" s="24" t="str">
        <x:v>Manquant</x:v>
      </x:c>
      <x:c r="L223" s="24" t="str">
        <x:v>Manquant</x:v>
      </x:c>
      <x:c r="M223" s="24" t="str">
        <x:v>Manquant</x:v>
      </x:c>
      <x:c r="N223" s="24" t="str">
        <x:v>Manquant</x:v>
      </x:c>
      <x:c r="O223" s="24" t="str">
        <x:v>Manquant</x:v>
      </x:c>
      <x:c r="P223" s="24" t="str">
        <x:v>Manquant</x:v>
      </x:c>
      <x:c r="Q223" s="24" t="str">
        <x:v>Commun</x:v>
      </x:c>
      <x:c r="R223" s="24" t="str">
        <x:v>Commun</x:v>
      </x:c>
      <x:c r="S223" s="24" t="str">
        <x:v>Commun</x:v>
      </x:c>
      <x:c r="T223" s="24" t="str">
        <x:v>Commun</x:v>
      </x:c>
      <x:c r="U223" s="24" t="str">
        <x:v>Commun</x:v>
      </x:c>
      <x:c r="V223" s="24" t="str">
        <x:v>Commun</x:v>
      </x:c>
      <x:c r="W223" s="24" t="str">
        <x:v>Non consignée</x:v>
      </x:c>
      <x:c r="X223" s="24" t="str">
        <x:v>Non consignée</x:v>
      </x:c>
      <x:c r="Y223" s="24" t="str">
        <x:v>Non consignée</x:v>
      </x:c>
      <x:c r="Z223" s="24" t="str">
        <x:v>Périmée (0/6)</x:v>
      </x:c>
      <x:c r="AA223" s="23" t="str">
        <x:v>Compléter le pack ; consigner QA, accord et publication.</x:v>
      </x:c>
      <x:c r="AB223" s="21" t="str">
        <x:v>1a63ecf787bc8d20e322314e1ba17987c83b1198</x:v>
      </x:c>
      <x:c r="AC223" s="21" t="str">
        <x:v>À intégrer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À planifier</x:v>
      </x:c>
      <x:c r="E224" s="25" t="str">
        <x:v>Lieux</x:v>
      </x:c>
      <x:c r="F224" s="24" t="str">
        <x:f>IF(AND(G224=8,COUNTIF(Q224:V224,"Atlas")=6),"Intégré","À faire")</x:f>
        <x:v>À faire</x:v>
      </x:c>
      <x:c r="G224" s="27" t="n">
        <x:f>COUNTIF(I224:P224,"Présent")</x:f>
        <x:v>0</x:v>
      </x:c>
      <x:c r="H224" s="24" t="str">
        <x:v>À assembler</x:v>
      </x:c>
      <x:c r="I224" s="24" t="str">
        <x:v>Référence</x:v>
      </x:c>
      <x:c r="J224" s="24" t="str">
        <x:v>Manquant</x:v>
      </x:c>
      <x:c r="K224" s="24" t="str">
        <x:v>Manquant</x:v>
      </x:c>
      <x:c r="L224" s="24" t="str">
        <x:v>Manquant</x:v>
      </x:c>
      <x:c r="M224" s="24" t="str">
        <x:v>Manquant</x:v>
      </x:c>
      <x:c r="N224" s="24" t="str">
        <x:v>Manquant</x:v>
      </x:c>
      <x:c r="O224" s="24" t="str">
        <x:v>Manquant</x:v>
      </x:c>
      <x:c r="P224" s="24" t="str">
        <x:v>Manquant</x:v>
      </x:c>
      <x:c r="Q224" s="24" t="str">
        <x:v>Commun</x:v>
      </x:c>
      <x:c r="R224" s="24" t="str">
        <x:v>Commun</x:v>
      </x:c>
      <x:c r="S224" s="24" t="str">
        <x:v>Commun</x:v>
      </x:c>
      <x:c r="T224" s="24" t="str">
        <x:v>Commun</x:v>
      </x:c>
      <x:c r="U224" s="24" t="str">
        <x:v>Commun</x:v>
      </x:c>
      <x:c r="V224" s="24" t="str">
        <x:v>Commun</x:v>
      </x:c>
      <x:c r="W224" s="24" t="str">
        <x:v>Non consignée</x:v>
      </x:c>
      <x:c r="X224" s="24" t="str">
        <x:v>Non consignée</x:v>
      </x:c>
      <x:c r="Y224" s="24" t="str">
        <x:v>Non consignée</x:v>
      </x:c>
      <x:c r="Z224" s="24" t="str">
        <x:v>Périmée (0/6)</x:v>
      </x:c>
      <x:c r="AA224" s="23" t="str">
        <x:v>Compléter le pack ; consigner QA, accord et publication.</x:v>
      </x:c>
      <x:c r="AB224" s="21" t="str">
        <x:v>1a63ecf787bc8d20e322314e1ba17987c83b1198</x:v>
      </x:c>
      <x:c r="AC224" s="21" t="str">
        <x:v>À intégrer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À planifier</x:v>
      </x:c>
      <x:c r="E225" s="25" t="str">
        <x:v>Lieux</x:v>
      </x:c>
      <x:c r="F225" s="24" t="str">
        <x:f>IF(AND(G225=8,COUNTIF(Q225:V225,"Atlas")=6),"Intégré","À faire")</x:f>
        <x:v>À faire</x:v>
      </x:c>
      <x:c r="G225" s="27" t="n">
        <x:f>COUNTIF(I225:P225,"Présent")</x:f>
        <x:v>0</x:v>
      </x:c>
      <x:c r="H225" s="24" t="str">
        <x:v>À assembler</x:v>
      </x:c>
      <x:c r="I225" s="24" t="str">
        <x:v>Référence</x:v>
      </x:c>
      <x:c r="J225" s="24" t="str">
        <x:v>Manquant</x:v>
      </x:c>
      <x:c r="K225" s="24" t="str">
        <x:v>Manquant</x:v>
      </x:c>
      <x:c r="L225" s="24" t="str">
        <x:v>Manquant</x:v>
      </x:c>
      <x:c r="M225" s="24" t="str">
        <x:v>Manquant</x:v>
      </x:c>
      <x:c r="N225" s="24" t="str">
        <x:v>Manquant</x:v>
      </x:c>
      <x:c r="O225" s="24" t="str">
        <x:v>Manquant</x:v>
      </x:c>
      <x:c r="P225" s="24" t="str">
        <x:v>Manquant</x:v>
      </x:c>
      <x:c r="Q225" s="24" t="str">
        <x:v>Commun</x:v>
      </x:c>
      <x:c r="R225" s="24" t="str">
        <x:v>Commun</x:v>
      </x:c>
      <x:c r="S225" s="24" t="str">
        <x:v>Commun</x:v>
      </x:c>
      <x:c r="T225" s="24" t="str">
        <x:v>Commun</x:v>
      </x:c>
      <x:c r="U225" s="24" t="str">
        <x:v>Commun</x:v>
      </x:c>
      <x:c r="V225" s="24" t="str">
        <x:v>Commun</x:v>
      </x:c>
      <x:c r="W225" s="24" t="str">
        <x:v>Non consignée</x:v>
      </x:c>
      <x:c r="X225" s="24" t="str">
        <x:v>Non consignée</x:v>
      </x:c>
      <x:c r="Y225" s="24" t="str">
        <x:v>Non consignée</x:v>
      </x:c>
      <x:c r="Z225" s="24" t="str">
        <x:v>Périmée (0/6)</x:v>
      </x:c>
      <x:c r="AA225" s="23" t="str">
        <x:v>Compléter le pack ; consigner QA, accord et publication.</x:v>
      </x:c>
      <x:c r="AB225" s="21" t="str">
        <x:v>1a63ecf787bc8d20e322314e1ba17987c83b1198</x:v>
      </x:c>
      <x:c r="AC225" s="21" t="str">
        <x:v>À intégrer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Lot 08</x:v>
      </x:c>
      <x:c r="E226" s="25" t="str">
        <x:v>Corps</x:v>
      </x:c>
      <x:c r="F226" s="24" t="str">
        <x:f>IF(AND(G226=8,COUNTIF(Q226:V226,"Atlas")=6),"Intégré","À faire")</x:f>
        <x:v>Intégré</x:v>
      </x:c>
      <x:c r="G226" s="27" t="n">
        <x:f>COUNTIF(I226:P226,"Présent")</x:f>
        <x:v>8</x:v>
      </x:c>
      <x:c r="H226" s="24" t="str">
        <x:v>Archivé Drive</x:v>
      </x:c>
      <x:c r="I226" s="24" t="str">
        <x:v>Présent</x:v>
      </x:c>
      <x:c r="J226" s="24" t="str">
        <x:v>Présent</x:v>
      </x:c>
      <x:c r="K226" s="24" t="str">
        <x:v>Présent</x:v>
      </x:c>
      <x:c r="L226" s="24" t="str">
        <x:v>Présent</x:v>
      </x:c>
      <x:c r="M226" s="24" t="str">
        <x:v>Présent</x:v>
      </x:c>
      <x:c r="N226" s="24" t="str">
        <x:v>Présent</x:v>
      </x:c>
      <x:c r="O226" s="24" t="str">
        <x:v>Présent</x:v>
      </x:c>
      <x:c r="P226" s="24" t="str">
        <x:v>Présent</x:v>
      </x:c>
      <x:c r="Q226" s="24" t="str">
        <x:v>Atlas</x:v>
      </x:c>
      <x:c r="R226" s="24" t="str">
        <x:v>Atlas</x:v>
      </x:c>
      <x:c r="S226" s="24" t="str">
        <x:v>Atlas</x:v>
      </x:c>
      <x:c r="T226" s="24" t="str">
        <x:v>Atlas</x:v>
      </x:c>
      <x:c r="U226" s="24" t="str">
        <x:v>Atlas</x:v>
      </x:c>
      <x:c r="V226" s="24" t="str">
        <x:v>Atlas</x:v>
      </x:c>
      <x:c r="W226" s="24" t="str">
        <x:v>6/6 actuelles</x:v>
      </x:c>
      <x:c r="X226" s="24" t="str">
        <x:v>6/6 actuelles</x:v>
      </x:c>
      <x:c r="Y226" s="24" t="str">
        <x:v>Non consignée</x:v>
      </x:c>
      <x:c r="Z226" s="24" t="str">
        <x:v>Périmée (0/6)</x:v>
      </x:c>
      <x:c r="AA226" s="23" t="str">
        <x:v>Accord et publication du lot non consignés.</x:v>
      </x:c>
      <x:c r="AB226" s="21" t="str">
        <x:v>9184f780a23f21687350020fa3448d58e4e0aadd</x:v>
      </x:c>
      <x:c r="AC226" s="21" t="str">
        <x:v>En cours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À planifier</x:v>
      </x:c>
      <x:c r="E227" s="25" t="str">
        <x:v>Animaux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Commun</x:v>
      </x:c>
      <x:c r="R227" s="24" t="str">
        <x:v>Commun</x:v>
      </x:c>
      <x:c r="S227" s="24" t="str">
        <x:v>Commun</x:v>
      </x:c>
      <x:c r="T227" s="24" t="str">
        <x:v>Commun</x:v>
      </x:c>
      <x:c r="U227" s="24" t="str">
        <x:v>Commun</x:v>
      </x:c>
      <x:c r="V227" s="24" t="str">
        <x:v>Commun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Périmée (0/6)</x:v>
      </x:c>
      <x:c r="AA227" s="23" t="str">
        <x:v>Compléter le pack ; consigner QA, accord et publication.</x:v>
      </x:c>
      <x:c r="AB227" s="21" t="str">
        <x:v>1a63ecf787bc8d20e322314e1ba17987c83b1198</x:v>
      </x:c>
      <x:c r="AC227" s="21" t="str">
        <x:v>À intégrer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À planifier</x:v>
      </x:c>
      <x:c r="E228" s="25" t="str">
        <x:v>Actions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Commun</x:v>
      </x:c>
      <x:c r="R228" s="24" t="str">
        <x:v>Commun</x:v>
      </x:c>
      <x:c r="S228" s="24" t="str">
        <x:v>Commun</x:v>
      </x:c>
      <x:c r="T228" s="24" t="str">
        <x:v>Commun</x:v>
      </x:c>
      <x:c r="U228" s="24" t="str">
        <x:v>Commun</x:v>
      </x:c>
      <x:c r="V228" s="24" t="str">
        <x:v>Commun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Périmée (0/6)</x:v>
      </x:c>
      <x:c r="AA228" s="23" t="str">
        <x:v>Compléter le pack ; consigner QA, accord et publication.</x:v>
      </x:c>
      <x:c r="AB228" s="21" t="str">
        <x:v>1a63ecf787bc8d20e322314e1ba17987c83b1198</x:v>
      </x:c>
      <x:c r="AC228" s="21" t="str">
        <x:v>À intégrer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À planifier</x:v>
      </x:c>
      <x:c r="E229" s="25" t="str">
        <x:v>Actions</x:v>
      </x:c>
      <x:c r="F229" s="24" t="str">
        <x:f>IF(AND(G229=8,COUNTIF(Q229:V229,"Atlas")=6),"Intégré","À faire")</x:f>
        <x:v>À faire</x:v>
      </x:c>
      <x:c r="G229" s="27" t="n">
        <x:f>COUNTIF(I229:P229,"Présent")</x:f>
        <x:v>0</x:v>
      </x:c>
      <x:c r="H229" s="24" t="str">
        <x:v>À assembler</x:v>
      </x:c>
      <x:c r="I229" s="24" t="str">
        <x:v>Référence</x:v>
      </x:c>
      <x:c r="J229" s="24" t="str">
        <x:v>Manquant</x:v>
      </x:c>
      <x:c r="K229" s="24" t="str">
        <x:v>Manquant</x:v>
      </x:c>
      <x:c r="L229" s="24" t="str">
        <x:v>Manquant</x:v>
      </x:c>
      <x:c r="M229" s="24" t="str">
        <x:v>Manquant</x:v>
      </x:c>
      <x:c r="N229" s="24" t="str">
        <x:v>Manquant</x:v>
      </x:c>
      <x:c r="O229" s="24" t="str">
        <x:v>Manquant</x:v>
      </x:c>
      <x:c r="P229" s="24" t="str">
        <x:v>Manquant</x:v>
      </x:c>
      <x:c r="Q229" s="24" t="str">
        <x:v>Commun</x:v>
      </x:c>
      <x:c r="R229" s="24" t="str">
        <x:v>Commun</x:v>
      </x:c>
      <x:c r="S229" s="24" t="str">
        <x:v>Commun</x:v>
      </x:c>
      <x:c r="T229" s="24" t="str">
        <x:v>Commun</x:v>
      </x:c>
      <x:c r="U229" s="24" t="str">
        <x:v>Commun</x:v>
      </x:c>
      <x:c r="V229" s="24" t="str">
        <x:v>Commun</x:v>
      </x:c>
      <x:c r="W229" s="24" t="str">
        <x:v>Non consignée</x:v>
      </x:c>
      <x:c r="X229" s="24" t="str">
        <x:v>Non consignée</x:v>
      </x:c>
      <x:c r="Y229" s="24" t="str">
        <x:v>Non consignée</x:v>
      </x:c>
      <x:c r="Z229" s="24" t="str">
        <x:v>Périmée (0/6)</x:v>
      </x:c>
      <x:c r="AA229" s="23" t="str">
        <x:v>Compléter le pack ; consigner QA, accord et publication.</x:v>
      </x:c>
      <x:c r="AB229" s="21" t="str">
        <x:v>1a63ecf787bc8d20e322314e1ba17987c83b1198</x:v>
      </x:c>
      <x:c r="AC229" s="21" t="str">
        <x:v>À intégrer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À planifier</x:v>
      </x:c>
      <x:c r="E230" s="25" t="str">
        <x:v>Actions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Commun</x:v>
      </x:c>
      <x:c r="R230" s="24" t="str">
        <x:v>Commun</x:v>
      </x:c>
      <x:c r="S230" s="24" t="str">
        <x:v>Commun</x:v>
      </x:c>
      <x:c r="T230" s="24" t="str">
        <x:v>Commun</x:v>
      </x:c>
      <x:c r="U230" s="24" t="str">
        <x:v>Commun</x:v>
      </x:c>
      <x:c r="V230" s="24" t="str">
        <x:v>Commun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Périmée (0/6)</x:v>
      </x:c>
      <x:c r="AA230" s="23" t="str">
        <x:v>Compléter le pack ; consigner QA, accord et publication.</x:v>
      </x:c>
      <x:c r="AB230" s="21" t="str">
        <x:v>1a63ecf787bc8d20e322314e1ba17987c83b1198</x:v>
      </x:c>
      <x:c r="AC230" s="21" t="str">
        <x:v>À intégrer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À planifier</x:v>
      </x:c>
      <x:c r="E231" s="25" t="str">
        <x:v>Animaux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Commun</x:v>
      </x:c>
      <x:c r="R231" s="24" t="str">
        <x:v>Commun</x:v>
      </x:c>
      <x:c r="S231" s="24" t="str">
        <x:v>Commun</x:v>
      </x:c>
      <x:c r="T231" s="24" t="str">
        <x:v>Commun</x:v>
      </x:c>
      <x:c r="U231" s="24" t="str">
        <x:v>Commun</x:v>
      </x:c>
      <x:c r="V231" s="24" t="str">
        <x:v>Commun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Périmée (0/6)</x:v>
      </x:c>
      <x:c r="AA231" s="23" t="str">
        <x:v>Compléter le pack ; consigner QA, accord et publication.</x:v>
      </x:c>
      <x:c r="AB231" s="21" t="str">
        <x:v>1a63ecf787bc8d20e322314e1ba17987c83b1198</x:v>
      </x:c>
      <x:c r="AC231" s="21" t="str">
        <x:v>À intégrer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Lot 08</x:v>
      </x:c>
      <x:c r="E232" s="25" t="str">
        <x:v>Ciel</x:v>
      </x:c>
      <x:c r="F232" s="24" t="str">
        <x:f>IF(AND(G232=8,COUNTIF(Q232:V232,"Atlas")=6),"Intégré","À faire")</x:f>
        <x:v>Intégré</x:v>
      </x:c>
      <x:c r="G232" s="27" t="n">
        <x:f>COUNTIF(I232:P232,"Présent")</x:f>
        <x:v>8</x:v>
      </x:c>
      <x:c r="H232" s="24" t="str">
        <x:v>Archivé Drive</x:v>
      </x:c>
      <x:c r="I232" s="24" t="str">
        <x:v>Présent</x:v>
      </x:c>
      <x:c r="J232" s="24" t="str">
        <x:v>Présent</x:v>
      </x:c>
      <x:c r="K232" s="24" t="str">
        <x:v>Présent</x:v>
      </x:c>
      <x:c r="L232" s="24" t="str">
        <x:v>Présent</x:v>
      </x:c>
      <x:c r="M232" s="24" t="str">
        <x:v>Présent</x:v>
      </x:c>
      <x:c r="N232" s="24" t="str">
        <x:v>Présent</x:v>
      </x:c>
      <x:c r="O232" s="24" t="str">
        <x:v>Présent</x:v>
      </x:c>
      <x:c r="P232" s="24" t="str">
        <x:v>Présent</x:v>
      </x:c>
      <x:c r="Q232" s="24" t="str">
        <x:v>Atlas</x:v>
      </x:c>
      <x:c r="R232" s="24" t="str">
        <x:v>Atlas</x:v>
      </x:c>
      <x:c r="S232" s="24" t="str">
        <x:v>Atlas</x:v>
      </x:c>
      <x:c r="T232" s="24" t="str">
        <x:v>Atlas</x:v>
      </x:c>
      <x:c r="U232" s="24" t="str">
        <x:v>Atlas</x:v>
      </x:c>
      <x:c r="V232" s="24" t="str">
        <x:v>Atlas</x:v>
      </x:c>
      <x:c r="W232" s="24" t="str">
        <x:v>6/6 actuelles</x:v>
      </x:c>
      <x:c r="X232" s="24" t="str">
        <x:v>6/6 actuelles</x:v>
      </x:c>
      <x:c r="Y232" s="24" t="str">
        <x:v>Non consignée</x:v>
      </x:c>
      <x:c r="Z232" s="24" t="str">
        <x:v>Périmée (0/6)</x:v>
      </x:c>
      <x:c r="AA232" s="23" t="str">
        <x:v>Accord et publication du lot non consignés.</x:v>
      </x:c>
      <x:c r="AB232" s="21" t="str">
        <x:v>9184f780a23f21687350020fa3448d58e4e0aadd</x:v>
      </x:c>
      <x:c r="AC232" s="21" t="str">
        <x:v>En cours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À planifier</x:v>
      </x:c>
      <x:c r="E233" s="25" t="str">
        <x:v>Personnes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Périmée (0/6)</x:v>
      </x:c>
      <x:c r="AA233" s="23" t="str">
        <x:v>Compléter le pack ; consigner QA, accord et publication.</x:v>
      </x:c>
      <x:c r="AB233" s="21" t="str">
        <x:v>1a63ecf787bc8d20e322314e1ba17987c83b1198</x:v>
      </x:c>
      <x:c r="AC233" s="21" t="str">
        <x:v>À intégrer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À planifier</x:v>
      </x:c>
      <x:c r="E234" s="25" t="str">
        <x:v>Animaux</x:v>
      </x:c>
      <x:c r="F234" s="24" t="str">
        <x:f>IF(AND(G234=8,COUNTIF(Q234:V234,"Atlas")=6),"Intégré","À faire")</x:f>
        <x:v>À faire</x:v>
      </x:c>
      <x:c r="G234" s="27" t="n">
        <x:f>COUNTIF(I234:P234,"Présent")</x:f>
        <x:v>0</x:v>
      </x:c>
      <x:c r="H234" s="24" t="str">
        <x:v>À assembler</x:v>
      </x:c>
      <x:c r="I234" s="24" t="str">
        <x:v>Référence</x:v>
      </x:c>
      <x:c r="J234" s="24" t="str">
        <x:v>Manquant</x:v>
      </x:c>
      <x:c r="K234" s="24" t="str">
        <x:v>Manquant</x:v>
      </x:c>
      <x:c r="L234" s="24" t="str">
        <x:v>Manquant</x:v>
      </x:c>
      <x:c r="M234" s="24" t="str">
        <x:v>Manquant</x:v>
      </x:c>
      <x:c r="N234" s="24" t="str">
        <x:v>Manquant</x:v>
      </x:c>
      <x:c r="O234" s="24" t="str">
        <x:v>Manquant</x:v>
      </x:c>
      <x:c r="P234" s="24" t="str">
        <x:v>Manquant</x:v>
      </x:c>
      <x:c r="Q234" s="24" t="str">
        <x:v>Commun</x:v>
      </x:c>
      <x:c r="R234" s="24" t="str">
        <x:v>Commun</x:v>
      </x:c>
      <x:c r="S234" s="24" t="str">
        <x:v>Commun</x:v>
      </x:c>
      <x:c r="T234" s="24" t="str">
        <x:v>Commun</x:v>
      </x:c>
      <x:c r="U234" s="24" t="str">
        <x:v>Commun</x:v>
      </x:c>
      <x:c r="V234" s="24" t="str">
        <x:v>Commun</x:v>
      </x:c>
      <x:c r="W234" s="24" t="str">
        <x:v>Non consignée</x:v>
      </x:c>
      <x:c r="X234" s="24" t="str">
        <x:v>Non consignée</x:v>
      </x:c>
      <x:c r="Y234" s="24" t="str">
        <x:v>Non consignée</x:v>
      </x:c>
      <x:c r="Z234" s="24" t="str">
        <x:v>Périmée (0/6)</x:v>
      </x:c>
      <x:c r="AA234" s="23" t="str">
        <x:v>Compléter le pack ; consigner QA, accord et publication.</x:v>
      </x:c>
      <x:c r="AB234" s="21" t="str">
        <x:v>1a63ecf787bc8d20e322314e1ba17987c83b1198</x:v>
      </x:c>
      <x:c r="AC234" s="21" t="str">
        <x:v>À intégrer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À planifier</x:v>
      </x:c>
      <x:c r="E235" s="25" t="str">
        <x:v>Lieux</x:v>
      </x:c>
      <x:c r="F235" s="24" t="str">
        <x:f>IF(AND(G235=8,COUNTIF(Q235:V235,"Atlas")=6),"Intégré","À faire")</x:f>
        <x:v>À faire</x:v>
      </x:c>
      <x:c r="G235" s="27" t="n">
        <x:f>COUNTIF(I235:P235,"Présent")</x:f>
        <x:v>0</x:v>
      </x:c>
      <x:c r="H235" s="24" t="str">
        <x:v>À assembler</x:v>
      </x:c>
      <x:c r="I235" s="24" t="str">
        <x:v>Référence</x:v>
      </x:c>
      <x:c r="J235" s="24" t="str">
        <x:v>Manquant</x:v>
      </x:c>
      <x:c r="K235" s="24" t="str">
        <x:v>Manquant</x:v>
      </x:c>
      <x:c r="L235" s="24" t="str">
        <x:v>Manquant</x:v>
      </x:c>
      <x:c r="M235" s="24" t="str">
        <x:v>Manquant</x:v>
      </x:c>
      <x:c r="N235" s="24" t="str">
        <x:v>Manquant</x:v>
      </x:c>
      <x:c r="O235" s="24" t="str">
        <x:v>Manquant</x:v>
      </x:c>
      <x:c r="P235" s="24" t="str">
        <x:v>Manquant</x:v>
      </x:c>
      <x:c r="Q235" s="24" t="str">
        <x:v>Commun</x:v>
      </x:c>
      <x:c r="R235" s="24" t="str">
        <x:v>Commun</x:v>
      </x:c>
      <x:c r="S235" s="24" t="str">
        <x:v>Commun</x:v>
      </x:c>
      <x:c r="T235" s="24" t="str">
        <x:v>Commun</x:v>
      </x:c>
      <x:c r="U235" s="24" t="str">
        <x:v>Commun</x:v>
      </x:c>
      <x:c r="V235" s="24" t="str">
        <x:v>Commun</x:v>
      </x:c>
      <x:c r="W235" s="24" t="str">
        <x:v>Non consignée</x:v>
      </x:c>
      <x:c r="X235" s="24" t="str">
        <x:v>Non consignée</x:v>
      </x:c>
      <x:c r="Y235" s="24" t="str">
        <x:v>Non consignée</x:v>
      </x:c>
      <x:c r="Z235" s="24" t="str">
        <x:v>Périmée (0/6)</x:v>
      </x:c>
      <x:c r="AA235" s="23" t="str">
        <x:v>Compléter le pack ; consigner QA, accord et publication.</x:v>
      </x:c>
      <x:c r="AB235" s="21" t="str">
        <x:v>1a63ecf787bc8d20e322314e1ba17987c83b1198</x:v>
      </x:c>
      <x:c r="AC235" s="21" t="str">
        <x:v>À intégrer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Lot 08</x:v>
      </x:c>
      <x:c r="E236" s="25" t="str">
        <x:v>Objets</x:v>
      </x:c>
      <x:c r="F236" s="24" t="str">
        <x:f>IF(AND(G236=8,COUNTIF(Q236:V236,"Atlas")=6),"Intégré","À faire")</x:f>
        <x:v>Intégré</x:v>
      </x:c>
      <x:c r="G236" s="27" t="n">
        <x:f>COUNTIF(I236:P236,"Présent")</x:f>
        <x:v>8</x:v>
      </x:c>
      <x:c r="H236" s="24" t="str">
        <x:v>Archivé Drive</x:v>
      </x:c>
      <x:c r="I236" s="24" t="str">
        <x:v>Présent</x:v>
      </x:c>
      <x:c r="J236" s="24" t="str">
        <x:v>Présent</x:v>
      </x:c>
      <x:c r="K236" s="24" t="str">
        <x:v>Présent</x:v>
      </x:c>
      <x:c r="L236" s="24" t="str">
        <x:v>Présent</x:v>
      </x:c>
      <x:c r="M236" s="24" t="str">
        <x:v>Présent</x:v>
      </x:c>
      <x:c r="N236" s="24" t="str">
        <x:v>Présent</x:v>
      </x:c>
      <x:c r="O236" s="24" t="str">
        <x:v>Présent</x:v>
      </x:c>
      <x:c r="P236" s="24" t="str">
        <x:v>Présent</x:v>
      </x:c>
      <x:c r="Q236" s="24" t="str">
        <x:v>Atlas</x:v>
      </x:c>
      <x:c r="R236" s="24" t="str">
        <x:v>Atlas</x:v>
      </x:c>
      <x:c r="S236" s="24" t="str">
        <x:v>Atlas</x:v>
      </x:c>
      <x:c r="T236" s="24" t="str">
        <x:v>Atlas</x:v>
      </x:c>
      <x:c r="U236" s="24" t="str">
        <x:v>Atlas</x:v>
      </x:c>
      <x:c r="V236" s="24" t="str">
        <x:v>Atlas</x:v>
      </x:c>
      <x:c r="W236" s="24" t="str">
        <x:v>6/6 actuelles</x:v>
      </x:c>
      <x:c r="X236" s="24" t="str">
        <x:v>6/6 actuelles</x:v>
      </x:c>
      <x:c r="Y236" s="24" t="str">
        <x:v>Non consignée</x:v>
      </x:c>
      <x:c r="Z236" s="24" t="str">
        <x:v>Périmée (0/6)</x:v>
      </x:c>
      <x:c r="AA236" s="23" t="str">
        <x:v>Accord et publication du lot non consignés.</x:v>
      </x:c>
      <x:c r="AB236" s="21" t="str">
        <x:v>9184f780a23f21687350020fa3448d58e4e0aadd</x:v>
      </x:c>
      <x:c r="AC236" s="21" t="str">
        <x:v>En cours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À planifier</x:v>
      </x:c>
      <x:c r="E237" s="25" t="str">
        <x:v>Objets</x:v>
      </x:c>
      <x:c r="F237" s="24" t="str">
        <x:f>IF(AND(G237=8,COUNTIF(Q237:V237,"Atlas")=6),"Intégré","À faire")</x:f>
        <x:v>À faire</x:v>
      </x:c>
      <x:c r="G237" s="27" t="n">
        <x:f>COUNTIF(I237:P237,"Présent")</x:f>
        <x:v>0</x:v>
      </x:c>
      <x:c r="H237" s="24" t="str">
        <x:v>À assembler</x:v>
      </x:c>
      <x:c r="I237" s="24" t="str">
        <x:v>Référence</x:v>
      </x:c>
      <x:c r="J237" s="24" t="str">
        <x:v>Manquant</x:v>
      </x:c>
      <x:c r="K237" s="24" t="str">
        <x:v>Manquant</x:v>
      </x:c>
      <x:c r="L237" s="24" t="str">
        <x:v>Manquant</x:v>
      </x:c>
      <x:c r="M237" s="24" t="str">
        <x:v>Manquant</x:v>
      </x:c>
      <x:c r="N237" s="24" t="str">
        <x:v>Manquant</x:v>
      </x:c>
      <x:c r="O237" s="24" t="str">
        <x:v>Manquant</x:v>
      </x:c>
      <x:c r="P237" s="24" t="str">
        <x:v>Manquant</x:v>
      </x:c>
      <x:c r="Q237" s="24" t="str">
        <x:v>Commun</x:v>
      </x:c>
      <x:c r="R237" s="24" t="str">
        <x:v>Commun</x:v>
      </x:c>
      <x:c r="S237" s="24" t="str">
        <x:v>Commun</x:v>
      </x:c>
      <x:c r="T237" s="24" t="str">
        <x:v>Commun</x:v>
      </x:c>
      <x:c r="U237" s="24" t="str">
        <x:v>Commun</x:v>
      </x:c>
      <x:c r="V237" s="24" t="str">
        <x:v>Commun</x:v>
      </x:c>
      <x:c r="W237" s="24" t="str">
        <x:v>Non consignée</x:v>
      </x:c>
      <x:c r="X237" s="24" t="str">
        <x:v>Non consignée</x:v>
      </x:c>
      <x:c r="Y237" s="24" t="str">
        <x:v>Non consignée</x:v>
      </x:c>
      <x:c r="Z237" s="24" t="str">
        <x:v>Périmée (0/6)</x:v>
      </x:c>
      <x:c r="AA237" s="23" t="str">
        <x:v>Compléter le pack ; consigner QA, accord et publication.</x:v>
      </x:c>
      <x:c r="AB237" s="21" t="str">
        <x:v>1a63ecf787bc8d20e322314e1ba17987c83b1198</x:v>
      </x:c>
      <x:c r="AC237" s="21" t="str">
        <x:v>À intégrer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À planifier</x:v>
      </x:c>
      <x:c r="E238" s="25" t="str">
        <x:v>Lieux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Commun</x:v>
      </x:c>
      <x:c r="R238" s="24" t="str">
        <x:v>Commun</x:v>
      </x:c>
      <x:c r="S238" s="24" t="str">
        <x:v>Commun</x:v>
      </x:c>
      <x:c r="T238" s="24" t="str">
        <x:v>Commun</x:v>
      </x:c>
      <x:c r="U238" s="24" t="str">
        <x:v>Commun</x:v>
      </x:c>
      <x:c r="V238" s="24" t="str">
        <x:v>Commun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Périmée (0/6)</x:v>
      </x:c>
      <x:c r="AA238" s="23" t="str">
        <x:v>Compléter le pack ; consigner QA, accord et publication.</x:v>
      </x:c>
      <x:c r="AB238" s="21" t="str">
        <x:v>1a63ecf787bc8d20e322314e1ba17987c83b1198</x:v>
      </x:c>
      <x:c r="AC238" s="21" t="str">
        <x:v>À intégrer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À planifier</x:v>
      </x:c>
      <x:c r="E239" s="25" t="str">
        <x:v>Nature</x:v>
      </x:c>
      <x:c r="F239" s="24" t="str">
        <x:f>IF(AND(G239=8,COUNTIF(Q239:V239,"Atlas")=6),"Intégré","À faire")</x:f>
        <x:v>À faire</x:v>
      </x:c>
      <x:c r="G239" s="27" t="n">
        <x:f>COUNTIF(I239:P239,"Présent")</x:f>
        <x:v>0</x:v>
      </x:c>
      <x:c r="H239" s="24" t="str">
        <x:v>À assembler</x:v>
      </x:c>
      <x:c r="I239" s="24" t="str">
        <x:v>Référence</x:v>
      </x:c>
      <x:c r="J239" s="24" t="str">
        <x:v>Manquant</x:v>
      </x:c>
      <x:c r="K239" s="24" t="str">
        <x:v>Manquant</x:v>
      </x:c>
      <x:c r="L239" s="24" t="str">
        <x:v>Manquant</x:v>
      </x:c>
      <x:c r="M239" s="24" t="str">
        <x:v>Manquant</x:v>
      </x:c>
      <x:c r="N239" s="24" t="str">
        <x:v>Manquant</x:v>
      </x:c>
      <x:c r="O239" s="24" t="str">
        <x:v>Manquant</x:v>
      </x:c>
      <x:c r="P239" s="24" t="str">
        <x:v>Manquant</x:v>
      </x:c>
      <x:c r="Q239" s="24" t="str">
        <x:v>Commun</x:v>
      </x:c>
      <x:c r="R239" s="24" t="str">
        <x:v>Commun</x:v>
      </x:c>
      <x:c r="S239" s="24" t="str">
        <x:v>Commun</x:v>
      </x:c>
      <x:c r="T239" s="24" t="str">
        <x:v>Commun</x:v>
      </x:c>
      <x:c r="U239" s="24" t="str">
        <x:v>Commun</x:v>
      </x:c>
      <x:c r="V239" s="24" t="str">
        <x:v>Commun</x:v>
      </x:c>
      <x:c r="W239" s="24" t="str">
        <x:v>Non consignée</x:v>
      </x:c>
      <x:c r="X239" s="24" t="str">
        <x:v>Non consignée</x:v>
      </x:c>
      <x:c r="Y239" s="24" t="str">
        <x:v>Non consignée</x:v>
      </x:c>
      <x:c r="Z239" s="24" t="str">
        <x:v>Périmée (0/6)</x:v>
      </x:c>
      <x:c r="AA239" s="23" t="str">
        <x:v>Compléter le pack ; consigner QA, accord et publication.</x:v>
      </x:c>
      <x:c r="AB239" s="21" t="str">
        <x:v>1a63ecf787bc8d20e322314e1ba17987c83b1198</x:v>
      </x:c>
      <x:c r="AC239" s="21" t="str">
        <x:v>À intégrer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À planifier</x:v>
      </x:c>
      <x:c r="E240" s="25" t="str">
        <x:v>Nature</x:v>
      </x:c>
      <x:c r="F240" s="24" t="str">
        <x:f>IF(AND(G240=8,COUNTIF(Q240:V240,"Atlas")=6),"Intégré","À faire")</x:f>
        <x:v>À faire</x:v>
      </x:c>
      <x:c r="G240" s="27" t="n">
        <x:f>COUNTIF(I240:P240,"Présent")</x:f>
        <x:v>0</x:v>
      </x:c>
      <x:c r="H240" s="24" t="str">
        <x:v>À assembler</x:v>
      </x:c>
      <x:c r="I240" s="24" t="str">
        <x:v>Référence</x:v>
      </x:c>
      <x:c r="J240" s="24" t="str">
        <x:v>Manquant</x:v>
      </x:c>
      <x:c r="K240" s="24" t="str">
        <x:v>Manquant</x:v>
      </x:c>
      <x:c r="L240" s="24" t="str">
        <x:v>Manquant</x:v>
      </x:c>
      <x:c r="M240" s="24" t="str">
        <x:v>Manquant</x:v>
      </x:c>
      <x:c r="N240" s="24" t="str">
        <x:v>Manquant</x:v>
      </x:c>
      <x:c r="O240" s="24" t="str">
        <x:v>Manquant</x:v>
      </x:c>
      <x:c r="P240" s="24" t="str">
        <x:v>Manquant</x:v>
      </x:c>
      <x:c r="Q240" s="24" t="str">
        <x:v>Commun</x:v>
      </x:c>
      <x:c r="R240" s="24" t="str">
        <x:v>Commun</x:v>
      </x:c>
      <x:c r="S240" s="24" t="str">
        <x:v>Commun</x:v>
      </x:c>
      <x:c r="T240" s="24" t="str">
        <x:v>Commun</x:v>
      </x:c>
      <x:c r="U240" s="24" t="str">
        <x:v>Commun</x:v>
      </x:c>
      <x:c r="V240" s="24" t="str">
        <x:v>Commun</x:v>
      </x:c>
      <x:c r="W240" s="24" t="str">
        <x:v>Non consignée</x:v>
      </x:c>
      <x:c r="X240" s="24" t="str">
        <x:v>Non consignée</x:v>
      </x:c>
      <x:c r="Y240" s="24" t="str">
        <x:v>Non consignée</x:v>
      </x:c>
      <x:c r="Z240" s="24" t="str">
        <x:v>Périmée (0/6)</x:v>
      </x:c>
      <x:c r="AA240" s="23" t="str">
        <x:v>Compléter le pack ; consigner QA, accord et publication.</x:v>
      </x:c>
      <x:c r="AB240" s="21" t="str">
        <x:v>1a63ecf787bc8d20e322314e1ba17987c83b1198</x:v>
      </x:c>
      <x:c r="AC240" s="21" t="str">
        <x:v>À intégrer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Commun</x:v>
      </x:c>
      <x:c r="R241" s="24" t="str">
        <x:v>Commun</x:v>
      </x:c>
      <x:c r="S241" s="24" t="str">
        <x:v>Commun</x:v>
      </x:c>
      <x:c r="T241" s="24" t="str">
        <x:v>Commun</x:v>
      </x:c>
      <x:c r="U241" s="24" t="str">
        <x:v>Commun</x:v>
      </x:c>
      <x:c r="V241" s="24" t="str">
        <x:v>Commun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Périmée (0/6)</x:v>
      </x:c>
      <x:c r="AA241" s="23" t="str">
        <x:v>Compléter le pack ; consigner QA, accord et publication.</x:v>
      </x:c>
      <x:c r="AB241" s="21" t="str">
        <x:v>1a63ecf787bc8d20e322314e1ba17987c83b1198</x:v>
      </x:c>
      <x:c r="AC241" s="21" t="str">
        <x:v>À intégrer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À planifier</x:v>
      </x:c>
      <x:c r="E242" s="25" t="str">
        <x:v>Actions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Commun</x:v>
      </x:c>
      <x:c r="R242" s="24" t="str">
        <x:v>Commun</x:v>
      </x:c>
      <x:c r="S242" s="24" t="str">
        <x:v>Commun</x:v>
      </x:c>
      <x:c r="T242" s="24" t="str">
        <x:v>Commun</x:v>
      </x:c>
      <x:c r="U242" s="24" t="str">
        <x:v>Commun</x:v>
      </x:c>
      <x:c r="V242" s="24" t="str">
        <x:v>Commun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Périmée (0/6)</x:v>
      </x:c>
      <x:c r="AA242" s="23" t="str">
        <x:v>Compléter le pack ; consigner QA, accord et publication.</x:v>
      </x:c>
      <x:c r="AB242" s="21" t="str">
        <x:v>1a63ecf787bc8d20e322314e1ba17987c83b1198</x:v>
      </x:c>
      <x:c r="AC242" s="21" t="str">
        <x:v>À intégrer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À planifier</x:v>
      </x:c>
      <x:c r="E243" s="25" t="str">
        <x:v>Animaux</x:v>
      </x:c>
      <x:c r="F243" s="24" t="str">
        <x:f>IF(AND(G243=8,COUNTIF(Q243:V243,"Atlas")=6),"Intégré","À faire")</x:f>
        <x:v>À faire</x:v>
      </x:c>
      <x:c r="G243" s="27" t="n">
        <x:f>COUNTIF(I243:P243,"Présent")</x:f>
        <x:v>0</x:v>
      </x:c>
      <x:c r="H243" s="24" t="str">
        <x:v>À assembler</x:v>
      </x:c>
      <x:c r="I243" s="24" t="str">
        <x:v>Référence</x:v>
      </x:c>
      <x:c r="J243" s="24" t="str">
        <x:v>Manquant</x:v>
      </x:c>
      <x:c r="K243" s="24" t="str">
        <x:v>Manquant</x:v>
      </x:c>
      <x:c r="L243" s="24" t="str">
        <x:v>Manquant</x:v>
      </x:c>
      <x:c r="M243" s="24" t="str">
        <x:v>Manquant</x:v>
      </x:c>
      <x:c r="N243" s="24" t="str">
        <x:v>Manquant</x:v>
      </x:c>
      <x:c r="O243" s="24" t="str">
        <x:v>Manquant</x:v>
      </x:c>
      <x:c r="P243" s="24" t="str">
        <x:v>Manquant</x:v>
      </x:c>
      <x:c r="Q243" s="24" t="str">
        <x:v>Commun</x:v>
      </x:c>
      <x:c r="R243" s="24" t="str">
        <x:v>Commun</x:v>
      </x:c>
      <x:c r="S243" s="24" t="str">
        <x:v>Commun</x:v>
      </x:c>
      <x:c r="T243" s="24" t="str">
        <x:v>Commun</x:v>
      </x:c>
      <x:c r="U243" s="24" t="str">
        <x:v>Commun</x:v>
      </x:c>
      <x:c r="V243" s="24" t="str">
        <x:v>Commun</x:v>
      </x:c>
      <x:c r="W243" s="24" t="str">
        <x:v>Non consignée</x:v>
      </x:c>
      <x:c r="X243" s="24" t="str">
        <x:v>Non consignée</x:v>
      </x:c>
      <x:c r="Y243" s="24" t="str">
        <x:v>Non consignée</x:v>
      </x:c>
      <x:c r="Z243" s="24" t="str">
        <x:v>Périmée (0/6)</x:v>
      </x:c>
      <x:c r="AA243" s="23" t="str">
        <x:v>Compléter le pack ; consigner QA, accord et publication.</x:v>
      </x:c>
      <x:c r="AB243" s="21" t="str">
        <x:v>1a63ecf787bc8d20e322314e1ba17987c83b1198</x:v>
      </x:c>
      <x:c r="AC243" s="21" t="str">
        <x:v>À intégrer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À planifier</x:v>
      </x:c>
      <x:c r="E244" s="25" t="str">
        <x:v>Objets</x:v>
      </x:c>
      <x:c r="F244" s="24" t="str">
        <x:f>IF(AND(G244=8,COUNTIF(Q244:V244,"Atlas")=6),"Intégré","À faire")</x:f>
        <x:v>À faire</x:v>
      </x:c>
      <x:c r="G244" s="27" t="n">
        <x:f>COUNTIF(I244:P244,"Présent")</x:f>
        <x:v>0</x:v>
      </x:c>
      <x:c r="H244" s="24" t="str">
        <x:v>À assembler</x:v>
      </x:c>
      <x:c r="I244" s="24" t="str">
        <x:v>Référence</x:v>
      </x:c>
      <x:c r="J244" s="24" t="str">
        <x:v>Manquant</x:v>
      </x:c>
      <x:c r="K244" s="24" t="str">
        <x:v>Manquant</x:v>
      </x:c>
      <x:c r="L244" s="24" t="str">
        <x:v>Manquant</x:v>
      </x:c>
      <x:c r="M244" s="24" t="str">
        <x:v>Manquant</x:v>
      </x:c>
      <x:c r="N244" s="24" t="str">
        <x:v>Manquant</x:v>
      </x:c>
      <x:c r="O244" s="24" t="str">
        <x:v>Manquant</x:v>
      </x:c>
      <x:c r="P244" s="24" t="str">
        <x:v>Manquant</x:v>
      </x:c>
      <x:c r="Q244" s="24" t="str">
        <x:v>Commun</x:v>
      </x:c>
      <x:c r="R244" s="24" t="str">
        <x:v>Commun</x:v>
      </x:c>
      <x:c r="S244" s="24" t="str">
        <x:v>Commun</x:v>
      </x:c>
      <x:c r="T244" s="24" t="str">
        <x:v>Commun</x:v>
      </x:c>
      <x:c r="U244" s="24" t="str">
        <x:v>Commun</x:v>
      </x:c>
      <x:c r="V244" s="24" t="str">
        <x:v>Commun</x:v>
      </x:c>
      <x:c r="W244" s="24" t="str">
        <x:v>Non consignée</x:v>
      </x:c>
      <x:c r="X244" s="24" t="str">
        <x:v>Non consignée</x:v>
      </x:c>
      <x:c r="Y244" s="24" t="str">
        <x:v>Non consignée</x:v>
      </x:c>
      <x:c r="Z244" s="24" t="str">
        <x:v>Périmée (0/6)</x:v>
      </x:c>
      <x:c r="AA244" s="23" t="str">
        <x:v>Compléter le pack ; consigner QA, accord et publication.</x:v>
      </x:c>
      <x:c r="AB244" s="21" t="str">
        <x:v>1a63ecf787bc8d20e322314e1ba17987c83b1198</x:v>
      </x:c>
      <x:c r="AC244" s="21" t="str">
        <x:v>À intégrer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À planifier</x:v>
      </x:c>
      <x:c r="E245" s="25" t="str">
        <x:v>Objets</x:v>
      </x:c>
      <x:c r="F245" s="24" t="str">
        <x:f>IF(AND(G245=8,COUNTIF(Q245:V245,"Atlas")=6),"Intégré","À faire")</x:f>
        <x:v>À faire</x:v>
      </x:c>
      <x:c r="G245" s="27" t="n">
        <x:f>COUNTIF(I245:P245,"Présent")</x:f>
        <x:v>0</x:v>
      </x:c>
      <x:c r="H245" s="24" t="str">
        <x:v>À assembler</x:v>
      </x:c>
      <x:c r="I245" s="24" t="str">
        <x:v>Référence</x:v>
      </x:c>
      <x:c r="J245" s="24" t="str">
        <x:v>Manquant</x:v>
      </x:c>
      <x:c r="K245" s="24" t="str">
        <x:v>Manquant</x:v>
      </x:c>
      <x:c r="L245" s="24" t="str">
        <x:v>Manquant</x:v>
      </x:c>
      <x:c r="M245" s="24" t="str">
        <x:v>Manquant</x:v>
      </x:c>
      <x:c r="N245" s="24" t="str">
        <x:v>Manquant</x:v>
      </x:c>
      <x:c r="O245" s="24" t="str">
        <x:v>Manquant</x:v>
      </x:c>
      <x:c r="P245" s="24" t="str">
        <x:v>Manquant</x:v>
      </x:c>
      <x:c r="Q245" s="24" t="str">
        <x:v>Commun</x:v>
      </x:c>
      <x:c r="R245" s="24" t="str">
        <x:v>Commun</x:v>
      </x:c>
      <x:c r="S245" s="24" t="str">
        <x:v>Commun</x:v>
      </x:c>
      <x:c r="T245" s="24" t="str">
        <x:v>Commun</x:v>
      </x:c>
      <x:c r="U245" s="24" t="str">
        <x:v>Commun</x:v>
      </x:c>
      <x:c r="V245" s="24" t="str">
        <x:v>Commun</x:v>
      </x:c>
      <x:c r="W245" s="24" t="str">
        <x:v>Non consignée</x:v>
      </x:c>
      <x:c r="X245" s="24" t="str">
        <x:v>Non consignée</x:v>
      </x:c>
      <x:c r="Y245" s="24" t="str">
        <x:v>Non consignée</x:v>
      </x:c>
      <x:c r="Z245" s="24" t="str">
        <x:v>Périmée (0/6)</x:v>
      </x:c>
      <x:c r="AA245" s="23" t="str">
        <x:v>Compléter le pack ; consigner QA, accord et publication.</x:v>
      </x:c>
      <x:c r="AB245" s="21" t="str">
        <x:v>1a63ecf787bc8d20e322314e1ba17987c83b1198</x:v>
      </x:c>
      <x:c r="AC245" s="21" t="str">
        <x:v>À intégrer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À planifier</x:v>
      </x:c>
      <x:c r="E246" s="25" t="str">
        <x:v>Animaux</x:v>
      </x:c>
      <x:c r="F246" s="24" t="str">
        <x:f>IF(AND(G246=8,COUNTIF(Q246:V246,"Atlas")=6),"Intégré","À faire")</x:f>
        <x:v>À faire</x:v>
      </x:c>
      <x:c r="G246" s="27" t="n">
        <x:f>COUNTIF(I246:P246,"Présent")</x:f>
        <x:v>0</x:v>
      </x:c>
      <x:c r="H246" s="24" t="str">
        <x:v>À assembler</x:v>
      </x:c>
      <x:c r="I246" s="24" t="str">
        <x:v>Référence</x:v>
      </x:c>
      <x:c r="J246" s="24" t="str">
        <x:v>Manquant</x:v>
      </x:c>
      <x:c r="K246" s="24" t="str">
        <x:v>Manquant</x:v>
      </x:c>
      <x:c r="L246" s="24" t="str">
        <x:v>Manquant</x:v>
      </x:c>
      <x:c r="M246" s="24" t="str">
        <x:v>Manquant</x:v>
      </x:c>
      <x:c r="N246" s="24" t="str">
        <x:v>Manquant</x:v>
      </x:c>
      <x:c r="O246" s="24" t="str">
        <x:v>Manquant</x:v>
      </x:c>
      <x:c r="P246" s="24" t="str">
        <x:v>Manquant</x:v>
      </x:c>
      <x:c r="Q246" s="24" t="str">
        <x:v>Commun</x:v>
      </x:c>
      <x:c r="R246" s="24" t="str">
        <x:v>Commun</x:v>
      </x:c>
      <x:c r="S246" s="24" t="str">
        <x:v>Commun</x:v>
      </x:c>
      <x:c r="T246" s="24" t="str">
        <x:v>Commun</x:v>
      </x:c>
      <x:c r="U246" s="24" t="str">
        <x:v>Commun</x:v>
      </x:c>
      <x:c r="V246" s="24" t="str">
        <x:v>Commun</x:v>
      </x:c>
      <x:c r="W246" s="24" t="str">
        <x:v>Non consignée</x:v>
      </x:c>
      <x:c r="X246" s="24" t="str">
        <x:v>Non consignée</x:v>
      </x:c>
      <x:c r="Y246" s="24" t="str">
        <x:v>Non consignée</x:v>
      </x:c>
      <x:c r="Z246" s="24" t="str">
        <x:v>Périmée (0/6)</x:v>
      </x:c>
      <x:c r="AA246" s="23" t="str">
        <x:v>Compléter le pack ; consigner QA, accord et publication.</x:v>
      </x:c>
      <x:c r="AB246" s="21" t="str">
        <x:v>1a63ecf787bc8d20e322314e1ba17987c83b1198</x:v>
      </x:c>
      <x:c r="AC246" s="21" t="str">
        <x:v>À intégrer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À planifier</x:v>
      </x:c>
      <x:c r="E247" s="25" t="str">
        <x:v>Nature</x:v>
      </x:c>
      <x:c r="F247" s="24" t="str">
        <x:f>IF(AND(G247=8,COUNTIF(Q247:V247,"Atlas")=6),"Intégré","À faire")</x:f>
        <x:v>À faire</x:v>
      </x:c>
      <x:c r="G247" s="27" t="n">
        <x:f>COUNTIF(I247:P247,"Présent")</x:f>
        <x:v>0</x:v>
      </x:c>
      <x:c r="H247" s="24" t="str">
        <x:v>À assembler</x:v>
      </x:c>
      <x:c r="I247" s="24" t="str">
        <x:v>Référence</x:v>
      </x:c>
      <x:c r="J247" s="24" t="str">
        <x:v>Manquant</x:v>
      </x:c>
      <x:c r="K247" s="24" t="str">
        <x:v>Manquant</x:v>
      </x:c>
      <x:c r="L247" s="24" t="str">
        <x:v>Manquant</x:v>
      </x:c>
      <x:c r="M247" s="24" t="str">
        <x:v>Manquant</x:v>
      </x:c>
      <x:c r="N247" s="24" t="str">
        <x:v>Manquant</x:v>
      </x:c>
      <x:c r="O247" s="24" t="str">
        <x:v>Manquant</x:v>
      </x:c>
      <x:c r="P247" s="24" t="str">
        <x:v>Manquant</x:v>
      </x:c>
      <x:c r="Q247" s="24" t="str">
        <x:v>Commun</x:v>
      </x:c>
      <x:c r="R247" s="24" t="str">
        <x:v>Commun</x:v>
      </x:c>
      <x:c r="S247" s="24" t="str">
        <x:v>Commun</x:v>
      </x:c>
      <x:c r="T247" s="24" t="str">
        <x:v>Commun</x:v>
      </x:c>
      <x:c r="U247" s="24" t="str">
        <x:v>Commun</x:v>
      </x:c>
      <x:c r="V247" s="24" t="str">
        <x:v>Commun</x:v>
      </x:c>
      <x:c r="W247" s="24" t="str">
        <x:v>Non consignée</x:v>
      </x:c>
      <x:c r="X247" s="24" t="str">
        <x:v>Non consignée</x:v>
      </x:c>
      <x:c r="Y247" s="24" t="str">
        <x:v>Non consignée</x:v>
      </x:c>
      <x:c r="Z247" s="24" t="str">
        <x:v>Périmée (0/6)</x:v>
      </x:c>
      <x:c r="AA247" s="23" t="str">
        <x:v>Compléter le pack ; consigner QA, accord et publication.</x:v>
      </x:c>
      <x:c r="AB247" s="21" t="str">
        <x:v>1a63ecf787bc8d20e322314e1ba17987c83b1198</x:v>
      </x:c>
      <x:c r="AC247" s="21" t="str">
        <x:v>À intégrer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Commun</x:v>
      </x:c>
      <x:c r="R248" s="24" t="str">
        <x:v>Commun</x:v>
      </x:c>
      <x:c r="S248" s="24" t="str">
        <x:v>Commun</x:v>
      </x:c>
      <x:c r="T248" s="24" t="str">
        <x:v>Commun</x:v>
      </x:c>
      <x:c r="U248" s="24" t="str">
        <x:v>Commun</x:v>
      </x:c>
      <x:c r="V248" s="24" t="str">
        <x:v>Commun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Périmée (0/6)</x:v>
      </x:c>
      <x:c r="AA248" s="23" t="str">
        <x:v>Compléter le pack ; consigner QA, accord et publication.</x:v>
      </x:c>
      <x:c r="AB248" s="21" t="str">
        <x:v>1a63ecf787bc8d20e322314e1ba17987c83b1198</x:v>
      </x:c>
      <x:c r="AC248" s="21" t="str">
        <x:v>À intégrer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À planifier</x:v>
      </x:c>
      <x:c r="E249" s="25" t="str">
        <x:v>Corps</x:v>
      </x:c>
      <x:c r="F249" s="24" t="str">
        <x:f>IF(AND(G249=8,COUNTIF(Q249:V249,"Atlas")=6),"Intégré","À faire")</x:f>
        <x:v>À faire</x:v>
      </x:c>
      <x:c r="G249" s="27" t="n">
        <x:f>COUNTIF(I249:P249,"Présent")</x:f>
        <x:v>0</x:v>
      </x:c>
      <x:c r="H249" s="24" t="str">
        <x:v>À assembler</x:v>
      </x:c>
      <x:c r="I249" s="24" t="str">
        <x:v>Référence</x:v>
      </x:c>
      <x:c r="J249" s="24" t="str">
        <x:v>Manquant</x:v>
      </x:c>
      <x:c r="K249" s="24" t="str">
        <x:v>Manquant</x:v>
      </x:c>
      <x:c r="L249" s="24" t="str">
        <x:v>Manquant</x:v>
      </x:c>
      <x:c r="M249" s="24" t="str">
        <x:v>Manquant</x:v>
      </x:c>
      <x:c r="N249" s="24" t="str">
        <x:v>Manquant</x:v>
      </x:c>
      <x:c r="O249" s="24" t="str">
        <x:v>Manquant</x:v>
      </x:c>
      <x:c r="P249" s="24" t="str">
        <x:v>Manquant</x:v>
      </x:c>
      <x:c r="Q249" s="24" t="str">
        <x:v>Commun</x:v>
      </x:c>
      <x:c r="R249" s="24" t="str">
        <x:v>Commun</x:v>
      </x:c>
      <x:c r="S249" s="24" t="str">
        <x:v>Commun</x:v>
      </x:c>
      <x:c r="T249" s="24" t="str">
        <x:v>Commun</x:v>
      </x:c>
      <x:c r="U249" s="24" t="str">
        <x:v>Commun</x:v>
      </x:c>
      <x:c r="V249" s="24" t="str">
        <x:v>Commun</x:v>
      </x:c>
      <x:c r="W249" s="24" t="str">
        <x:v>Non consignée</x:v>
      </x:c>
      <x:c r="X249" s="24" t="str">
        <x:v>Non consignée</x:v>
      </x:c>
      <x:c r="Y249" s="24" t="str">
        <x:v>Non consignée</x:v>
      </x:c>
      <x:c r="Z249" s="24" t="str">
        <x:v>Périmée (0/6)</x:v>
      </x:c>
      <x:c r="AA249" s="23" t="str">
        <x:v>Compléter le pack ; consigner QA, accord et publication.</x:v>
      </x:c>
      <x:c r="AB249" s="21" t="str">
        <x:v>1a63ecf787bc8d20e322314e1ba17987c83b1198</x:v>
      </x:c>
      <x:c r="AC249" s="21" t="str">
        <x:v>À intégrer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À planifier</x:v>
      </x:c>
      <x:c r="E250" s="25" t="str">
        <x:v>Personnes</x:v>
      </x:c>
      <x:c r="F250" s="24" t="str">
        <x:f>IF(AND(G250=8,COUNTIF(Q250:V250,"Atlas")=6),"Intégré","À faire")</x:f>
        <x:v>À faire</x:v>
      </x:c>
      <x:c r="G250" s="27" t="n">
        <x:f>COUNTIF(I250:P250,"Présent")</x:f>
        <x:v>0</x:v>
      </x:c>
      <x:c r="H250" s="24" t="str">
        <x:v>À assembler</x:v>
      </x:c>
      <x:c r="I250" s="24" t="str">
        <x:v>Référence</x:v>
      </x:c>
      <x:c r="J250" s="24" t="str">
        <x:v>Manquant</x:v>
      </x:c>
      <x:c r="K250" s="24" t="str">
        <x:v>Manquant</x:v>
      </x:c>
      <x:c r="L250" s="24" t="str">
        <x:v>Manquant</x:v>
      </x:c>
      <x:c r="M250" s="24" t="str">
        <x:v>Manquant</x:v>
      </x:c>
      <x:c r="N250" s="24" t="str">
        <x:v>Manquant</x:v>
      </x:c>
      <x:c r="O250" s="24" t="str">
        <x:v>Manquant</x:v>
      </x:c>
      <x:c r="P250" s="24" t="str">
        <x:v>Manquant</x:v>
      </x:c>
      <x:c r="Q250" s="24" t="str">
        <x:v>Commun</x:v>
      </x:c>
      <x:c r="R250" s="24" t="str">
        <x:v>Commun</x:v>
      </x:c>
      <x:c r="S250" s="24" t="str">
        <x:v>Commun</x:v>
      </x:c>
      <x:c r="T250" s="24" t="str">
        <x:v>Commun</x:v>
      </x:c>
      <x:c r="U250" s="24" t="str">
        <x:v>Commun</x:v>
      </x:c>
      <x:c r="V250" s="24" t="str">
        <x:v>Commun</x:v>
      </x:c>
      <x:c r="W250" s="24" t="str">
        <x:v>Non consignée</x:v>
      </x:c>
      <x:c r="X250" s="24" t="str">
        <x:v>Non consignée</x:v>
      </x:c>
      <x:c r="Y250" s="24" t="str">
        <x:v>Non consignée</x:v>
      </x:c>
      <x:c r="Z250" s="24" t="str">
        <x:v>Périmée (0/6)</x:v>
      </x:c>
      <x:c r="AA250" s="23" t="str">
        <x:v>Compléter le pack ; consigner QA, accord et publication.</x:v>
      </x:c>
      <x:c r="AB250" s="21" t="str">
        <x:v>1a63ecf787bc8d20e322314e1ba17987c83b1198</x:v>
      </x:c>
      <x:c r="AC250" s="21" t="str">
        <x:v>À intégrer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b1bdf9a1c6644d0"/>
  </x:tableParts>
</x:worksheet>
</file>