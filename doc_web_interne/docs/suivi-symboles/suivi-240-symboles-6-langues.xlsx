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502e22566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 symboles" sheetId="1" r:id="R1952b03bb8c9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sz val="10"/>
      <x:color rgb="FF0A0514"/>
      <x:name val="Arial"/>
    </x:font>
    <x:font>
      <x:b/>
      <x:sz val="16"/>
      <x:color rgb="FF0A0514"/>
      <x:name val="Arial"/>
    </x:font>
    <x:font>
      <x:i/>
      <x:sz val="10"/>
      <x:color rgb="FF332044"/>
      <x:name val="Arial"/>
    </x:font>
    <x:font>
      <x:b/>
      <x:sz val="14"/>
      <x:color rgb="FF0A0514"/>
      <x:name val="Arial"/>
    </x:font>
    <x:font>
      <x:b/>
      <x:sz val="10"/>
      <x:color rgb="FFFFF9E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9EF"/>
      </x:patternFill>
    </x:fill>
    <x:fill>
      <x:patternFill patternType="solid">
        <x:fgColor rgb="FF0A051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EAD4B4"/>
      </x:bottom>
      <x:diagonal/>
    </x:border>
    <x:border>
      <x:left/>
      <x:right style="thin">
        <x:color rgb="FFFFF9EF"/>
      </x:right>
      <x:top/>
      <x:bottom/>
      <x:diagonal/>
    </x:border>
    <x:border>
      <x:left style="thin">
        <x:color rgb="FFFFF9EF"/>
      </x:left>
      <x:right style="thin">
        <x:color rgb="FFFFF9EF"/>
      </x:right>
      <x:top/>
      <x:bottom/>
      <x:diagonal/>
    </x:border>
    <x:border>
      <x:left style="thin">
        <x:color rgb="FFFFF9E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27"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EAD4B4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  <x:dxf>
      <x:font>
        <x:color rgb="FF0A0514"/>
      </x:font>
      <x:fill>
        <x:patternFill>
          <x:bgColor rgb="FFF4ED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e7895eab74dfb" /><Relationship Type="http://schemas.openxmlformats.org/officeDocument/2006/relationships/theme" Target="/xl/theme/theme1.xml" Id="R4e5caaf1d1a64557" /><Relationship Type="http://schemas.openxmlformats.org/officeDocument/2006/relationships/sharedStrings" Target="/xl/sharedStrings.xml" Id="R14f076c0d2c0433b" /><Relationship Type="http://schemas.openxmlformats.org/officeDocument/2006/relationships/worksheet" Target="/xl/worksheets/sheet1.xml" Id="R1952b03bb8c94b9f" /></Relationships>
</file>

<file path=xl/tables/table1.xml><?xml version="1.0" encoding="utf-8"?>
<x:table xmlns:x="http://schemas.openxmlformats.org/spreadsheetml/2006/main" id="1" name="SuiviSymboles" displayName="SuiviSymboles" ref="A10:AC250" headerRowCount="1" totalsRowCount="0" totalsRowShown="0">
  <x:autoFilter ref="A10:AC250"/>
  <x:tableColumns count="29">
    <x:tableColumn id="1" name="Symbole FR"/>
    <x:tableColumn id="2" name="Identifiant"/>
    <x:tableColumn id="3" name="N°"/>
    <x:tableColumn id="4" name="Lot"/>
    <x:tableColumn id="5" name="Famille"/>
    <x:tableColumn id="6" name="Atlas 6 langues"/>
    <x:tableColumn id="7" name="Rôles présents / 8"/>
    <x:tableColumn id="8" name="Pack sources"/>
    <x:tableColumn id="9" name="Hero"/>
    <x:tableColumn id="10" name="Portrait"/>
    <x:tableColumn id="11" name="Plaque alpha"/>
    <x:tableColumn id="12" name="Scène 1"/>
    <x:tableColumn id="13" name="Scène 2"/>
    <x:tableColumn id="14" name="Scène 3"/>
    <x:tableColumn id="15" name="Effet A"/>
    <x:tableColumn id="16" name="Effet B"/>
    <x:tableColumn id="17" name="FR"/>
    <x:tableColumn id="18" name="EN"/>
    <x:tableColumn id="19" name="ES"/>
    <x:tableColumn id="20" name="DE"/>
    <x:tableColumn id="21" name="IT"/>
    <x:tableColumn id="22" name="PT"/>
    <x:tableColumn id="23" name="QA mobile"/>
    <x:tableColumn id="24" name="QA 2560 px"/>
    <x:tableColumn id="25" name="Accord Thanh"/>
    <x:tableColumn id="26" name="Publication"/>
    <x:tableColumn id="27" name="À faire"/>
    <x:tableColumn id="28" name="Révision"/>
    <x:tableColumn id="29" name="Livraison complè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5598b33e1450e" /></Relationships>
</file>

<file path=xl/worksheets/sheet1.xml><?xml version="1.0" encoding="utf-8"?>
<x:worksheet xmlns:x="http://schemas.openxmlformats.org/spreadsheetml/2006/main">
  <x:sheetPr>
    <x:tabColor rgb="FF0A0514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4" hidden="0" customWidth="1"/>
    <x:col min="4" max="4" width="17" hidden="0" customWidth="1"/>
    <x:col min="5" max="5" width="21" hidden="0" customWidth="1"/>
    <x:col min="6" max="6" width="15" hidden="0" customWidth="1"/>
    <x:col min="7" max="7" width="18" hidden="0" customWidth="1"/>
    <x:col min="8" max="8" width="19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7" hidden="0" customWidth="1"/>
    <x:col min="24" max="24" width="17" hidden="0" customWidth="1"/>
    <x:col min="25" max="25" width="18" hidden="0" customWidth="1"/>
    <x:col min="26" max="26" width="18" hidden="0" customWidth="1"/>
    <x:col min="27" max="27" width="68" hidden="0" customWidth="1"/>
    <x:col min="28" max="28" width="44" hidden="0" customWidth="1"/>
    <x:col min="29" max="29" width="2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30" customHeight="1">
      <x:c r="A2" s="5" t="str">
        <x:v>Noctalia — suivi des 240 symboles</x:v>
      </x:c>
      <x:c r="B2" s="6"/>
      <x:c r="C2" s="6"/>
      <x:c r="D2" s="6"/>
      <x:c r="E2" s="6"/>
      <x:c r="F2" s="6"/>
      <x:c r="G2" s="6"/>
      <x:c r="H2" s="6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</x:row>
    <x:row r="3" ht="24" customHeight="1">
      <x:c r="A3" s="7" t="str">
        <x:v>240 packs intégrés dans les six langues. Validation actuelle ; publication assurée par Thanh.</x:v>
      </x:c>
      <x:c r="B3" s="7"/>
      <x:c r="C3" s="7"/>
      <x:c r="D3" s="7"/>
      <x:c r="E3" s="7"/>
      <x:c r="F3" s="7"/>
      <x:c r="G3" s="7"/>
      <x:c r="H3" s="7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</x:row>
    <x:row r="4" ht="27" customHeight="1">
      <x:c r="A4" s="3" t="str">
        <x:v>Packs d'images</x:v>
      </x:c>
      <x:c r="B4" s="9" t="n">
        <x:f>COUNTIF(F11:F250,"Intégré")</x:f>
        <x:v>240</x:v>
      </x:c>
      <x:c r="C4" s="3" t="str">
        <x:v>Packs à terminer</x:v>
      </x:c>
      <x:c r="D4" s="9" t="n">
        <x:f>COUNTA(B11:B250)-B4</x:f>
        <x:v>0</x:v>
      </x:c>
      <x:c r="E4" s="3" t="str">
        <x:v>Pages avec pack</x:v>
      </x:c>
      <x:c r="F4" s="9" t="n">
        <x:f>COUNTIF(Q11:V250,"Atlas")</x:f>
        <x:v>1440</x:v>
      </x:c>
      <x:c r="G4" s="3" t="str">
        <x:v>Pages web</x:v>
      </x:c>
      <x:c r="H4" s="9" t="n">
        <x:f>COUNTIF(Q11:V250,"Atlas")+COUNTIF(Q11:V250,"Commun")</x:f>
        <x:v>1440</x:v>
      </x:c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</x:row>
    <x:row r="5" ht="27" customHeight="1">
      <x:c r="A5" s="3" t="str">
        <x:v>QA mobile</x:v>
      </x:c>
      <x:c r="B5" s="9" t="n">
        <x:f>COUNTIF(W11:W250,"6/6 actuelles")</x:f>
        <x:v>240</x:v>
      </x:c>
      <x:c r="C5" s="3" t="str">
        <x:v>QA 2560 px</x:v>
      </x:c>
      <x:c r="D5" s="9" t="n">
        <x:f>COUNTIF(X11:X250,"6/6 actuelles")</x:f>
        <x:v>240</x:v>
      </x:c>
      <x:c r="E5" s="3" t="str">
        <x:v>Accord Thanh</x:v>
      </x:c>
      <x:c r="F5" s="9" t="n">
        <x:f>COUNTIF(Y11:Y250,"Approuvé 6/6")</x:f>
        <x:v>0</x:v>
      </x:c>
      <x:c r="G5" s="3" t="str">
        <x:v>Publiées</x:v>
      </x:c>
      <x:c r="H5" s="9" t="n">
        <x:f>COUNTIF(Z11:Z250,"Publié 6/6")</x:f>
        <x:v>0</x:v>
      </x:c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</x:row>
    <x:row r="6" ht="20" customHeight="1">
      <x:c r="A6" s="7" t="str">
        <x:f>"Livraisons complètes actuelles : "&amp;COUNTIF(AC11:AC250,"Livré")&amp;". Les preuves historiques restent conservées dans le registre."</x:f>
        <x:v>Livraisons complètes actuelles : 0. Les preuves historiques restent conservées dans le registre.</x:v>
      </x:c>
      <x:c r="B6" s="7"/>
      <x:c r="C6" s="7"/>
      <x:c r="D6" s="7"/>
      <x:c r="E6" s="7"/>
      <x:c r="F6" s="7"/>
      <x:c r="G6" s="7"/>
      <x:c r="H6" s="7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</x:row>
    <x:row r="7" ht="20" customHeight="1">
      <x:c r="A7" s="7" t="str">
        <x:v>240 packs, 1 440 pages. Sources originales des six packs retrouvées et sauvegardées sur Drive.</x:v>
      </x:c>
      <x:c r="B7" s="7"/>
      <x:c r="C7" s="7"/>
      <x:c r="D7" s="7"/>
      <x:c r="E7" s="7"/>
      <x:c r="F7" s="7"/>
      <x:c r="G7" s="7"/>
      <x:c r="H7" s="7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</x:row>
    <x:row r="8" ht="20" customHeight="1">
      <x:c r="A8" s="7" t="str">
        <x:v>Source : rapport canonique 5f96fe5298e47cda. Révision : 674f752f62b3179c8a21300c7796024f5935efc1</x:v>
      </x:c>
      <x:c r="B8" s="7"/>
      <x:c r="C8" s="7"/>
      <x:c r="D8" s="7"/>
      <x:c r="E8" s="7"/>
      <x:c r="F8" s="7"/>
      <x:c r="G8" s="7"/>
      <x:c r="H8" s="7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</x:row>
    <x:row r="10" ht="34" customHeight="1">
      <x:c r="A10" s="18" t="str">
        <x:v>Symbole FR</x:v>
      </x:c>
      <x:c r="B10" s="19" t="str">
        <x:v>Identifiant</x:v>
      </x:c>
      <x:c r="C10" s="19" t="str">
        <x:v>N°</x:v>
      </x:c>
      <x:c r="D10" s="19" t="str">
        <x:v>Lot</x:v>
      </x:c>
      <x:c r="E10" s="19" t="str">
        <x:v>Famille</x:v>
      </x:c>
      <x:c r="F10" s="19" t="str">
        <x:v>Atlas 6 langues</x:v>
      </x:c>
      <x:c r="G10" s="19" t="str">
        <x:v>Rôles présents / 8</x:v>
      </x:c>
      <x:c r="H10" s="19" t="str">
        <x:v>Pack sources</x:v>
      </x:c>
      <x:c r="I10" s="19" t="str">
        <x:v>Hero</x:v>
      </x:c>
      <x:c r="J10" s="19" t="str">
        <x:v>Portrait</x:v>
      </x:c>
      <x:c r="K10" s="19" t="str">
        <x:v>Plaque alpha</x:v>
      </x:c>
      <x:c r="L10" s="19" t="str">
        <x:v>Scène 1</x:v>
      </x:c>
      <x:c r="M10" s="19" t="str">
        <x:v>Scène 2</x:v>
      </x:c>
      <x:c r="N10" s="19" t="str">
        <x:v>Scène 3</x:v>
      </x:c>
      <x:c r="O10" s="19" t="str">
        <x:v>Effet A</x:v>
      </x:c>
      <x:c r="P10" s="19" t="str">
        <x:v>Effet B</x:v>
      </x:c>
      <x:c r="Q10" s="19" t="str">
        <x:v>FR</x:v>
      </x:c>
      <x:c r="R10" s="19" t="str">
        <x:v>EN</x:v>
      </x:c>
      <x:c r="S10" s="19" t="str">
        <x:v>ES</x:v>
      </x:c>
      <x:c r="T10" s="19" t="str">
        <x:v>DE</x:v>
      </x:c>
      <x:c r="U10" s="19" t="str">
        <x:v>IT</x:v>
      </x:c>
      <x:c r="V10" s="19" t="str">
        <x:v>PT</x:v>
      </x:c>
      <x:c r="W10" s="19" t="str">
        <x:v>QA mobile</x:v>
      </x:c>
      <x:c r="X10" s="19" t="str">
        <x:v>QA 2560 px</x:v>
      </x:c>
      <x:c r="Y10" s="19" t="str">
        <x:v>Accord Thanh</x:v>
      </x:c>
      <x:c r="Z10" s="19" t="str">
        <x:v>Publication</x:v>
      </x:c>
      <x:c r="AA10" s="19" t="str">
        <x:v>À faire</x:v>
      </x:c>
      <x:c r="AB10" s="19" t="str">
        <x:v>Révision</x:v>
      </x:c>
      <x:c r="AC10" s="20" t="str">
        <x:v>Livraison complète</x:v>
      </x:c>
    </x:row>
    <x:row r="11" ht="40" customHeight="1">
      <x:c r="A11" s="22" t="str">
        <x:v>Tigre</x:v>
      </x:c>
      <x:c r="B11" s="22" t="str">
        <x:v>tiger</x:v>
      </x:c>
      <x:c r="C11" s="26" t="n">
        <x:v>1</x:v>
      </x:c>
      <x:c r="D11" s="24" t="str">
        <x:v>Pilote Tigre</x:v>
      </x:c>
      <x:c r="E11" s="25" t="str">
        <x:v>Animaux</x:v>
      </x:c>
      <x:c r="F11" s="24" t="str">
        <x:f>IF(AND(G11=8,COUNTIF(Q11:V11,"Atlas")=6),"Intégré","À faire")</x:f>
        <x:v>Intégré</x:v>
      </x:c>
      <x:c r="G11" s="27" t="n">
        <x:f>COUNTIF(I11:P11,"Présent")</x:f>
        <x:v>8</x:v>
      </x:c>
      <x:c r="H11" s="24" t="str">
        <x:v>Historique</x:v>
      </x:c>
      <x:c r="I11" s="24" t="str">
        <x:v>Présent</x:v>
      </x:c>
      <x:c r="J11" s="24" t="str">
        <x:v>Présent</x:v>
      </x:c>
      <x:c r="K11" s="24" t="str">
        <x:v>Présent</x:v>
      </x:c>
      <x:c r="L11" s="24" t="str">
        <x:v>Présent</x:v>
      </x:c>
      <x:c r="M11" s="24" t="str">
        <x:v>Présent</x:v>
      </x:c>
      <x:c r="N11" s="24" t="str">
        <x:v>Présent</x:v>
      </x:c>
      <x:c r="O11" s="24" t="str">
        <x:v>Présent</x:v>
      </x:c>
      <x:c r="P11" s="24" t="str">
        <x:v>Présent</x:v>
      </x:c>
      <x:c r="Q11" s="24" t="str">
        <x:v>Atlas</x:v>
      </x:c>
      <x:c r="R11" s="24" t="str">
        <x:v>Atlas</x:v>
      </x:c>
      <x:c r="S11" s="24" t="str">
        <x:v>Atlas</x:v>
      </x:c>
      <x:c r="T11" s="24" t="str">
        <x:v>Atlas</x:v>
      </x:c>
      <x:c r="U11" s="24" t="str">
        <x:v>Atlas</x:v>
      </x:c>
      <x:c r="V11" s="24" t="str">
        <x:v>Atlas</x:v>
      </x:c>
      <x:c r="W11" s="24" t="str">
        <x:v>6/6 actuelles</x:v>
      </x:c>
      <x:c r="X11" s="24" t="str">
        <x:v>6/6 actuelles</x:v>
      </x:c>
      <x:c r="Y11" s="24" t="str">
        <x:v>Périmée (0/6)</x:v>
      </x:c>
      <x:c r="Z11" s="24" t="str">
        <x:v>Périmée (0/6)</x:v>
      </x:c>
      <x:c r="AA11" s="23" t="str">
        <x:v>Validation navigateur passée. Publication exacte en attente de Thanh.</x:v>
      </x:c>
      <x:c r="AB11" s="21" t="str">
        <x:v>674f752f62b3179c8a21300c7796024f5935efc1</x:v>
      </x:c>
      <x:c r="AC11" s="21" t="str">
        <x:v>En cours</x:v>
      </x:c>
    </x:row>
    <x:row r="12" ht="40" customHeight="1">
      <x:c r="A12" s="22" t="str">
        <x:v>Chute</x:v>
      </x:c>
      <x:c r="B12" s="22" t="str">
        <x:v>falling</x:v>
      </x:c>
      <x:c r="C12" s="26" t="n">
        <x:v>2</x:v>
      </x:c>
      <x:c r="D12" s="24" t="str">
        <x:v>Lot 01</x:v>
      </x:c>
      <x:c r="E12" s="25" t="str">
        <x:v>Actions</x:v>
      </x:c>
      <x:c r="F12" s="24" t="str">
        <x:f>IF(AND(G12=8,COUNTIF(Q12:V12,"Atlas")=6),"Intégré","À faire")</x:f>
        <x:v>Intégré</x:v>
      </x:c>
      <x:c r="G12" s="27" t="n">
        <x:f>COUNTIF(I12:P12,"Présent")</x:f>
        <x:v>8</x:v>
      </x:c>
      <x:c r="H12" s="24" t="str">
        <x:v>À assembler</x:v>
      </x:c>
      <x:c r="I12" s="24" t="str">
        <x:v>Présent</x:v>
      </x:c>
      <x:c r="J12" s="24" t="str">
        <x:v>Présent</x:v>
      </x:c>
      <x:c r="K12" s="24" t="str">
        <x:v>Présent</x:v>
      </x:c>
      <x:c r="L12" s="24" t="str">
        <x:v>Présent</x:v>
      </x:c>
      <x:c r="M12" s="24" t="str">
        <x:v>Présent</x:v>
      </x:c>
      <x:c r="N12" s="24" t="str">
        <x:v>Présent</x:v>
      </x:c>
      <x:c r="O12" s="24" t="str">
        <x:v>Présent</x:v>
      </x:c>
      <x:c r="P12" s="24" t="str">
        <x:v>Présent</x:v>
      </x:c>
      <x:c r="Q12" s="24" t="str">
        <x:v>Atlas</x:v>
      </x:c>
      <x:c r="R12" s="24" t="str">
        <x:v>Atlas</x:v>
      </x:c>
      <x:c r="S12" s="24" t="str">
        <x:v>Atlas</x:v>
      </x:c>
      <x:c r="T12" s="24" t="str">
        <x:v>Atlas</x:v>
      </x:c>
      <x:c r="U12" s="24" t="str">
        <x:v>Atlas</x:v>
      </x:c>
      <x:c r="V12" s="24" t="str">
        <x:v>Atlas</x:v>
      </x:c>
      <x:c r="W12" s="24" t="str">
        <x:v>6/6 actuelles</x:v>
      </x:c>
      <x:c r="X12" s="24" t="str">
        <x:v>6/6 actuelles</x:v>
      </x:c>
      <x:c r="Y12" s="24" t="str">
        <x:v>Périmée (0/6)</x:v>
      </x:c>
      <x:c r="Z12" s="24" t="str">
        <x:v>Périmée (0/6)</x:v>
      </x:c>
      <x:c r="AA12" s="23" t="str">
        <x:v>Validation navigateur passée. Publication exacte en attente de Thanh.</x:v>
      </x:c>
      <x:c r="AB12" s="21" t="str">
        <x:v>674f752f62b3179c8a21300c7796024f5935efc1</x:v>
      </x:c>
      <x:c r="AC12" s="21" t="str">
        <x:v>En cours</x:v>
      </x:c>
    </x:row>
    <x:row r="13" ht="40" customHeight="1">
      <x:c r="A13" s="22" t="str">
        <x:v>Forêt</x:v>
      </x:c>
      <x:c r="B13" s="22" t="str">
        <x:v>forest</x:v>
      </x:c>
      <x:c r="C13" s="26" t="n">
        <x:v>3</x:v>
      </x:c>
      <x:c r="D13" s="24" t="str">
        <x:v>Lot 01</x:v>
      </x:c>
      <x:c r="E13" s="25" t="str">
        <x:v>Nature</x:v>
      </x:c>
      <x:c r="F13" s="24" t="str">
        <x:f>IF(AND(G13=8,COUNTIF(Q13:V13,"Atlas")=6),"Intégré","À faire")</x:f>
        <x:v>Intégré</x:v>
      </x:c>
      <x:c r="G13" s="27" t="n">
        <x:f>COUNTIF(I13:P13,"Présent")</x:f>
        <x:v>8</x:v>
      </x:c>
      <x:c r="H13" s="24" t="str">
        <x:v>À assembler</x:v>
      </x:c>
      <x:c r="I13" s="24" t="str">
        <x:v>Présent</x:v>
      </x:c>
      <x:c r="J13" s="24" t="str">
        <x:v>Présent</x:v>
      </x:c>
      <x:c r="K13" s="24" t="str">
        <x:v>Présent</x:v>
      </x:c>
      <x:c r="L13" s="24" t="str">
        <x:v>Présent</x:v>
      </x:c>
      <x:c r="M13" s="24" t="str">
        <x:v>Présent</x:v>
      </x:c>
      <x:c r="N13" s="24" t="str">
        <x:v>Présent</x:v>
      </x:c>
      <x:c r="O13" s="24" t="str">
        <x:v>Présent</x:v>
      </x:c>
      <x:c r="P13" s="24" t="str">
        <x:v>Présent</x:v>
      </x:c>
      <x:c r="Q13" s="24" t="str">
        <x:v>Atlas</x:v>
      </x:c>
      <x:c r="R13" s="24" t="str">
        <x:v>Atlas</x:v>
      </x:c>
      <x:c r="S13" s="24" t="str">
        <x:v>Atlas</x:v>
      </x:c>
      <x:c r="T13" s="24" t="str">
        <x:v>Atlas</x:v>
      </x:c>
      <x:c r="U13" s="24" t="str">
        <x:v>Atlas</x:v>
      </x:c>
      <x:c r="V13" s="24" t="str">
        <x:v>Atlas</x:v>
      </x:c>
      <x:c r="W13" s="24" t="str">
        <x:v>6/6 actuelles</x:v>
      </x:c>
      <x:c r="X13" s="24" t="str">
        <x:v>6/6 actuelles</x:v>
      </x:c>
      <x:c r="Y13" s="24" t="str">
        <x:v>Périmée (0/6)</x:v>
      </x:c>
      <x:c r="Z13" s="24" t="str">
        <x:v>Périmée (0/6)</x:v>
      </x:c>
      <x:c r="AA13" s="23" t="str">
        <x:v>Validation navigateur passée. Publication exacte en attente de Thanh.</x:v>
      </x:c>
      <x:c r="AB13" s="21" t="str">
        <x:v>674f752f62b3179c8a21300c7796024f5935efc1</x:v>
      </x:c>
      <x:c r="AC13" s="21" t="str">
        <x:v>En cours</x:v>
      </x:c>
    </x:row>
    <x:row r="14" ht="40" customHeight="1">
      <x:c r="A14" s="22" t="str">
        <x:v>Maison</x:v>
      </x:c>
      <x:c r="B14" s="22" t="str">
        <x:v>house</x:v>
      </x:c>
      <x:c r="C14" s="26" t="n">
        <x:v>4</x:v>
      </x:c>
      <x:c r="D14" s="24" t="str">
        <x:v>Lot 01</x:v>
      </x:c>
      <x:c r="E14" s="25" t="str">
        <x:v>Lieux</x:v>
      </x:c>
      <x:c r="F14" s="24" t="str">
        <x:f>IF(AND(G14=8,COUNTIF(Q14:V14,"Atlas")=6),"Intégré","À faire")</x:f>
        <x:v>Intégré</x:v>
      </x:c>
      <x:c r="G14" s="27" t="n">
        <x:f>COUNTIF(I14:P14,"Présent")</x:f>
        <x:v>8</x:v>
      </x:c>
      <x:c r="H14" s="24" t="str">
        <x:v>À assembler</x:v>
      </x:c>
      <x:c r="I14" s="24" t="str">
        <x:v>Présent</x:v>
      </x:c>
      <x:c r="J14" s="24" t="str">
        <x:v>Présent</x:v>
      </x:c>
      <x:c r="K14" s="24" t="str">
        <x:v>Présent</x:v>
      </x:c>
      <x:c r="L14" s="24" t="str">
        <x:v>Présent</x:v>
      </x:c>
      <x:c r="M14" s="24" t="str">
        <x:v>Présent</x:v>
      </x:c>
      <x:c r="N14" s="24" t="str">
        <x:v>Présent</x:v>
      </x:c>
      <x:c r="O14" s="24" t="str">
        <x:v>Présent</x:v>
      </x:c>
      <x:c r="P14" s="24" t="str">
        <x:v>Présent</x:v>
      </x:c>
      <x:c r="Q14" s="24" t="str">
        <x:v>Atlas</x:v>
      </x:c>
      <x:c r="R14" s="24" t="str">
        <x:v>Atlas</x:v>
      </x:c>
      <x:c r="S14" s="24" t="str">
        <x:v>Atlas</x:v>
      </x:c>
      <x:c r="T14" s="24" t="str">
        <x:v>Atlas</x:v>
      </x:c>
      <x:c r="U14" s="24" t="str">
        <x:v>Atlas</x:v>
      </x:c>
      <x:c r="V14" s="24" t="str">
        <x:v>Atlas</x:v>
      </x:c>
      <x:c r="W14" s="24" t="str">
        <x:v>6/6 actuelles</x:v>
      </x:c>
      <x:c r="X14" s="24" t="str">
        <x:v>6/6 actuelles</x:v>
      </x:c>
      <x:c r="Y14" s="24" t="str">
        <x:v>Périmée (0/6)</x:v>
      </x:c>
      <x:c r="Z14" s="24" t="str">
        <x:v>Périmée (0/6)</x:v>
      </x:c>
      <x:c r="AA14" s="23" t="str">
        <x:v>Validation navigateur passée. Publication exacte en attente de Thanh.</x:v>
      </x:c>
      <x:c r="AB14" s="21" t="str">
        <x:v>674f752f62b3179c8a21300c7796024f5935efc1</x:v>
      </x:c>
      <x:c r="AC14" s="21" t="str">
        <x:v>En cours</x:v>
      </x:c>
    </x:row>
    <x:row r="15" ht="40" customHeight="1">
      <x:c r="A15" s="22" t="str">
        <x:v>Mer / Océan</x:v>
      </x:c>
      <x:c r="B15" s="22" t="str">
        <x:v>ocean</x:v>
      </x:c>
      <x:c r="C15" s="26" t="n">
        <x:v>5</x:v>
      </x:c>
      <x:c r="D15" s="24" t="str">
        <x:v>Lot 01</x:v>
      </x:c>
      <x:c r="E15" s="25" t="str">
        <x:v>Nature</x:v>
      </x:c>
      <x:c r="F15" s="24" t="str">
        <x:f>IF(AND(G15=8,COUNTIF(Q15:V15,"Atlas")=6),"Intégré","À faire")</x:f>
        <x:v>Intégré</x:v>
      </x:c>
      <x:c r="G15" s="27" t="n">
        <x:f>COUNTIF(I15:P15,"Présent")</x:f>
        <x:v>8</x:v>
      </x:c>
      <x:c r="H15" s="24" t="str">
        <x:v>À assembler</x:v>
      </x:c>
      <x:c r="I15" s="24" t="str">
        <x:v>Présent</x:v>
      </x:c>
      <x:c r="J15" s="24" t="str">
        <x:v>Présent</x:v>
      </x:c>
      <x:c r="K15" s="24" t="str">
        <x:v>Présent</x:v>
      </x:c>
      <x:c r="L15" s="24" t="str">
        <x:v>Présent</x:v>
      </x:c>
      <x:c r="M15" s="24" t="str">
        <x:v>Présent</x:v>
      </x:c>
      <x:c r="N15" s="24" t="str">
        <x:v>Présent</x:v>
      </x:c>
      <x:c r="O15" s="24" t="str">
        <x:v>Présent</x:v>
      </x:c>
      <x:c r="P15" s="24" t="str">
        <x:v>Présent</x:v>
      </x:c>
      <x:c r="Q15" s="24" t="str">
        <x:v>Atlas</x:v>
      </x:c>
      <x:c r="R15" s="24" t="str">
        <x:v>Atlas</x:v>
      </x:c>
      <x:c r="S15" s="24" t="str">
        <x:v>Atlas</x:v>
      </x:c>
      <x:c r="T15" s="24" t="str">
        <x:v>Atlas</x:v>
      </x:c>
      <x:c r="U15" s="24" t="str">
        <x:v>Atlas</x:v>
      </x:c>
      <x:c r="V15" s="24" t="str">
        <x:v>Atlas</x:v>
      </x:c>
      <x:c r="W15" s="24" t="str">
        <x:v>6/6 actuelles</x:v>
      </x:c>
      <x:c r="X15" s="24" t="str">
        <x:v>6/6 actuelles</x:v>
      </x:c>
      <x:c r="Y15" s="24" t="str">
        <x:v>Périmée (0/6)</x:v>
      </x:c>
      <x:c r="Z15" s="24" t="str">
        <x:v>Périmée (0/6)</x:v>
      </x:c>
      <x:c r="AA15" s="23" t="str">
        <x:v>Validation navigateur passée. Publication exacte en attente de Thanh.</x:v>
      </x:c>
      <x:c r="AB15" s="21" t="str">
        <x:v>674f752f62b3179c8a21300c7796024f5935efc1</x:v>
      </x:c>
      <x:c r="AC15" s="21" t="str">
        <x:v>En cours</x:v>
      </x:c>
    </x:row>
    <x:row r="16" ht="40" customHeight="1">
      <x:c r="A16" s="22" t="str">
        <x:v>Papillon</x:v>
      </x:c>
      <x:c r="B16" s="22" t="str">
        <x:v>butterfly</x:v>
      </x:c>
      <x:c r="C16" s="26" t="n">
        <x:v>6</x:v>
      </x:c>
      <x:c r="D16" s="24" t="str">
        <x:v>Lot 01</x:v>
      </x:c>
      <x:c r="E16" s="25" t="str">
        <x:v>Animaux</x:v>
      </x:c>
      <x:c r="F16" s="24" t="str">
        <x:f>IF(AND(G16=8,COUNTIF(Q16:V16,"Atlas")=6),"Intégré","À faire")</x:f>
        <x:v>Intégré</x:v>
      </x:c>
      <x:c r="G16" s="27" t="n">
        <x:f>COUNTIF(I16:P16,"Présent")</x:f>
        <x:v>8</x:v>
      </x:c>
      <x:c r="H16" s="24" t="str">
        <x:v>À assembler</x:v>
      </x:c>
      <x:c r="I16" s="24" t="str">
        <x:v>Présent</x:v>
      </x:c>
      <x:c r="J16" s="24" t="str">
        <x:v>Présent</x:v>
      </x:c>
      <x:c r="K16" s="24" t="str">
        <x:v>Présent</x:v>
      </x:c>
      <x:c r="L16" s="24" t="str">
        <x:v>Présent</x:v>
      </x:c>
      <x:c r="M16" s="24" t="str">
        <x:v>Présent</x:v>
      </x:c>
      <x:c r="N16" s="24" t="str">
        <x:v>Présent</x:v>
      </x:c>
      <x:c r="O16" s="24" t="str">
        <x:v>Présent</x:v>
      </x:c>
      <x:c r="P16" s="24" t="str">
        <x:v>Présent</x:v>
      </x:c>
      <x:c r="Q16" s="24" t="str">
        <x:v>Atlas</x:v>
      </x:c>
      <x:c r="R16" s="24" t="str">
        <x:v>Atlas</x:v>
      </x:c>
      <x:c r="S16" s="24" t="str">
        <x:v>Atlas</x:v>
      </x:c>
      <x:c r="T16" s="24" t="str">
        <x:v>Atlas</x:v>
      </x:c>
      <x:c r="U16" s="24" t="str">
        <x:v>Atlas</x:v>
      </x:c>
      <x:c r="V16" s="24" t="str">
        <x:v>Atlas</x:v>
      </x:c>
      <x:c r="W16" s="24" t="str">
        <x:v>6/6 actuelles</x:v>
      </x:c>
      <x:c r="X16" s="24" t="str">
        <x:v>6/6 actuelles</x:v>
      </x:c>
      <x:c r="Y16" s="24" t="str">
        <x:v>Périmée (0/6)</x:v>
      </x:c>
      <x:c r="Z16" s="24" t="str">
        <x:v>Périmée (0/6)</x:v>
      </x:c>
      <x:c r="AA16" s="23" t="str">
        <x:v>Validation navigateur passée. Publication exacte en attente de Thanh.</x:v>
      </x:c>
      <x:c r="AB16" s="21" t="str">
        <x:v>674f752f62b3179c8a21300c7796024f5935efc1</x:v>
      </x:c>
      <x:c r="AC16" s="21" t="str">
        <x:v>En cours</x:v>
      </x:c>
    </x:row>
    <x:row r="17" ht="40" customHeight="1">
      <x:c r="A17" s="22" t="str">
        <x:v>Serpent</x:v>
      </x:c>
      <x:c r="B17" s="22" t="str">
        <x:v>snake</x:v>
      </x:c>
      <x:c r="C17" s="26" t="n">
        <x:v>7</x:v>
      </x:c>
      <x:c r="D17" s="24" t="str">
        <x:v>Lot 01</x:v>
      </x:c>
      <x:c r="E17" s="25" t="str">
        <x:v>Animaux</x:v>
      </x:c>
      <x:c r="F17" s="24" t="str">
        <x:f>IF(AND(G17=8,COUNTIF(Q17:V17,"Atlas")=6),"Intégré","À faire")</x:f>
        <x:v>Intégré</x:v>
      </x:c>
      <x:c r="G17" s="27" t="n">
        <x:f>COUNTIF(I17:P17,"Présent")</x:f>
        <x:v>8</x:v>
      </x:c>
      <x:c r="H17" s="24" t="str">
        <x:v>À assembler</x:v>
      </x:c>
      <x:c r="I17" s="24" t="str">
        <x:v>Présent</x:v>
      </x:c>
      <x:c r="J17" s="24" t="str">
        <x:v>Présent</x:v>
      </x:c>
      <x:c r="K17" s="24" t="str">
        <x:v>Présent</x:v>
      </x:c>
      <x:c r="L17" s="24" t="str">
        <x:v>Présent</x:v>
      </x:c>
      <x:c r="M17" s="24" t="str">
        <x:v>Présent</x:v>
      </x:c>
      <x:c r="N17" s="24" t="str">
        <x:v>Présent</x:v>
      </x:c>
      <x:c r="O17" s="24" t="str">
        <x:v>Présent</x:v>
      </x:c>
      <x:c r="P17" s="24" t="str">
        <x:v>Présent</x:v>
      </x:c>
      <x:c r="Q17" s="24" t="str">
        <x:v>Atlas</x:v>
      </x:c>
      <x:c r="R17" s="24" t="str">
        <x:v>Atlas</x:v>
      </x:c>
      <x:c r="S17" s="24" t="str">
        <x:v>Atlas</x:v>
      </x:c>
      <x:c r="T17" s="24" t="str">
        <x:v>Atlas</x:v>
      </x:c>
      <x:c r="U17" s="24" t="str">
        <x:v>Atlas</x:v>
      </x:c>
      <x:c r="V17" s="24" t="str">
        <x:v>Atlas</x:v>
      </x:c>
      <x:c r="W17" s="24" t="str">
        <x:v>6/6 actuelles</x:v>
      </x:c>
      <x:c r="X17" s="24" t="str">
        <x:v>6/6 actuelles</x:v>
      </x:c>
      <x:c r="Y17" s="24" t="str">
        <x:v>Périmée (0/6)</x:v>
      </x:c>
      <x:c r="Z17" s="24" t="str">
        <x:v>Périmée (0/6)</x:v>
      </x:c>
      <x:c r="AA17" s="23" t="str">
        <x:v>Validation navigateur passée. Publication exacte en attente de Thanh.</x:v>
      </x:c>
      <x:c r="AB17" s="21" t="str">
        <x:v>674f752f62b3179c8a21300c7796024f5935efc1</x:v>
      </x:c>
      <x:c r="AC17" s="21" t="str">
        <x:v>En cours</x:v>
      </x:c>
    </x:row>
    <x:row r="18" ht="40" customHeight="1">
      <x:c r="A18" s="22" t="str">
        <x:v>Feu</x:v>
      </x:c>
      <x:c r="B18" s="22" t="str">
        <x:v>fire</x:v>
      </x:c>
      <x:c r="C18" s="26" t="n">
        <x:v>8</x:v>
      </x:c>
      <x:c r="D18" s="24" t="str">
        <x:v>Lot 02</x:v>
      </x:c>
      <x:c r="E18" s="25" t="str">
        <x:v>Nature</x:v>
      </x:c>
      <x:c r="F18" s="24" t="str">
        <x:f>IF(AND(G18=8,COUNTIF(Q18:V18,"Atlas")=6),"Intégré","À faire")</x:f>
        <x:v>Intégré</x:v>
      </x:c>
      <x:c r="G18" s="27" t="n">
        <x:f>COUNTIF(I18:P18,"Présent")</x:f>
        <x:v>8</x:v>
      </x:c>
      <x:c r="H18" s="24" t="str">
        <x:v>Disponible</x:v>
      </x:c>
      <x:c r="I18" s="24" t="str">
        <x:v>Présent</x:v>
      </x:c>
      <x:c r="J18" s="24" t="str">
        <x:v>Présent</x:v>
      </x:c>
      <x:c r="K18" s="24" t="str">
        <x:v>Présent</x:v>
      </x:c>
      <x:c r="L18" s="24" t="str">
        <x:v>Présent</x:v>
      </x:c>
      <x:c r="M18" s="24" t="str">
        <x:v>Présent</x:v>
      </x:c>
      <x:c r="N18" s="24" t="str">
        <x:v>Présent</x:v>
      </x:c>
      <x:c r="O18" s="24" t="str">
        <x:v>Présent</x:v>
      </x:c>
      <x:c r="P18" s="24" t="str">
        <x:v>Présent</x:v>
      </x:c>
      <x:c r="Q18" s="24" t="str">
        <x:v>Atlas</x:v>
      </x:c>
      <x:c r="R18" s="24" t="str">
        <x:v>Atlas</x:v>
      </x:c>
      <x:c r="S18" s="24" t="str">
        <x:v>Atlas</x:v>
      </x:c>
      <x:c r="T18" s="24" t="str">
        <x:v>Atlas</x:v>
      </x:c>
      <x:c r="U18" s="24" t="str">
        <x:v>Atlas</x:v>
      </x:c>
      <x:c r="V18" s="24" t="str">
        <x:v>Atlas</x:v>
      </x:c>
      <x:c r="W18" s="24" t="str">
        <x:v>6/6 actuelles</x:v>
      </x:c>
      <x:c r="X18" s="24" t="str">
        <x:v>6/6 actuelles</x:v>
      </x:c>
      <x:c r="Y18" s="24" t="str">
        <x:v>Périmée (0/6)</x:v>
      </x:c>
      <x:c r="Z18" s="24" t="str">
        <x:v>Périmée (0/6)</x:v>
      </x:c>
      <x:c r="AA18" s="23" t="str">
        <x:v>Validation navigateur passée. Publication exacte en attente de Thanh.</x:v>
      </x:c>
      <x:c r="AB18" s="21" t="str">
        <x:v>674f752f62b3179c8a21300c7796024f5935efc1</x:v>
      </x:c>
      <x:c r="AC18" s="21" t="str">
        <x:v>En cours</x:v>
      </x:c>
    </x:row>
    <x:row r="19" ht="40" customHeight="1">
      <x:c r="A19" s="22" t="str">
        <x:v>Horloge</x:v>
      </x:c>
      <x:c r="B19" s="22" t="str">
        <x:v>clock</x:v>
      </x:c>
      <x:c r="C19" s="26" t="n">
        <x:v>9</x:v>
      </x:c>
      <x:c r="D19" s="24" t="str">
        <x:v>Lot 02</x:v>
      </x:c>
      <x:c r="E19" s="25" t="str">
        <x:v>Objets</x:v>
      </x:c>
      <x:c r="F19" s="24" t="str">
        <x:f>IF(AND(G19=8,COUNTIF(Q19:V19,"Atlas")=6),"Intégré","À faire")</x:f>
        <x:v>Intégré</x:v>
      </x:c>
      <x:c r="G19" s="27" t="n">
        <x:f>COUNTIF(I19:P19,"Présent")</x:f>
        <x:v>8</x:v>
      </x:c>
      <x:c r="H19" s="24" t="str">
        <x:v>Disponible</x:v>
      </x:c>
      <x:c r="I19" s="24" t="str">
        <x:v>Présent</x:v>
      </x:c>
      <x:c r="J19" s="24" t="str">
        <x:v>Présent</x:v>
      </x:c>
      <x:c r="K19" s="24" t="str">
        <x:v>Présent</x:v>
      </x:c>
      <x:c r="L19" s="24" t="str">
        <x:v>Présent</x:v>
      </x:c>
      <x:c r="M19" s="24" t="str">
        <x:v>Présent</x:v>
      </x:c>
      <x:c r="N19" s="24" t="str">
        <x:v>Présent</x:v>
      </x:c>
      <x:c r="O19" s="24" t="str">
        <x:v>Présent</x:v>
      </x:c>
      <x:c r="P19" s="24" t="str">
        <x:v>Présent</x:v>
      </x:c>
      <x:c r="Q19" s="24" t="str">
        <x:v>Atlas</x:v>
      </x:c>
      <x:c r="R19" s="24" t="str">
        <x:v>Atlas</x:v>
      </x:c>
      <x:c r="S19" s="24" t="str">
        <x:v>Atlas</x:v>
      </x:c>
      <x:c r="T19" s="24" t="str">
        <x:v>Atlas</x:v>
      </x:c>
      <x:c r="U19" s="24" t="str">
        <x:v>Atlas</x:v>
      </x:c>
      <x:c r="V19" s="24" t="str">
        <x:v>Atlas</x:v>
      </x:c>
      <x:c r="W19" s="24" t="str">
        <x:v>6/6 actuelles</x:v>
      </x:c>
      <x:c r="X19" s="24" t="str">
        <x:v>6/6 actuelles</x:v>
      </x:c>
      <x:c r="Y19" s="24" t="str">
        <x:v>Périmée (0/6)</x:v>
      </x:c>
      <x:c r="Z19" s="24" t="str">
        <x:v>Périmée (0/6)</x:v>
      </x:c>
      <x:c r="AA19" s="23" t="str">
        <x:v>Validation navigateur passée. Publication exacte en attente de Thanh.</x:v>
      </x:c>
      <x:c r="AB19" s="21" t="str">
        <x:v>674f752f62b3179c8a21300c7796024f5935efc1</x:v>
      </x:c>
      <x:c r="AC19" s="21" t="str">
        <x:v>En cours</x:v>
      </x:c>
    </x:row>
    <x:row r="20" ht="40" customHeight="1">
      <x:c r="A20" s="22" t="str">
        <x:v>Lune</x:v>
      </x:c>
      <x:c r="B20" s="22" t="str">
        <x:v>moon</x:v>
      </x:c>
      <x:c r="C20" s="26" t="n">
        <x:v>10</x:v>
      </x:c>
      <x:c r="D20" s="24" t="str">
        <x:v>Lot 02</x:v>
      </x:c>
      <x:c r="E20" s="25" t="str">
        <x:v>Ciel</x:v>
      </x:c>
      <x:c r="F20" s="24" t="str">
        <x:f>IF(AND(G20=8,COUNTIF(Q20:V20,"Atlas")=6),"Intégré","À faire")</x:f>
        <x:v>Intégré</x:v>
      </x:c>
      <x:c r="G20" s="27" t="n">
        <x:f>COUNTIF(I20:P20,"Présent")</x:f>
        <x:v>8</x:v>
      </x:c>
      <x:c r="H20" s="24" t="str">
        <x:v>Disponible</x:v>
      </x:c>
      <x:c r="I20" s="24" t="str">
        <x:v>Présent</x:v>
      </x:c>
      <x:c r="J20" s="24" t="str">
        <x:v>Présent</x:v>
      </x:c>
      <x:c r="K20" s="24" t="str">
        <x:v>Présent</x:v>
      </x:c>
      <x:c r="L20" s="24" t="str">
        <x:v>Présent</x:v>
      </x:c>
      <x:c r="M20" s="24" t="str">
        <x:v>Présent</x:v>
      </x:c>
      <x:c r="N20" s="24" t="str">
        <x:v>Présent</x:v>
      </x:c>
      <x:c r="O20" s="24" t="str">
        <x:v>Présent</x:v>
      </x:c>
      <x:c r="P20" s="24" t="str">
        <x:v>Présent</x:v>
      </x:c>
      <x:c r="Q20" s="24" t="str">
        <x:v>Atlas</x:v>
      </x:c>
      <x:c r="R20" s="24" t="str">
        <x:v>Atlas</x:v>
      </x:c>
      <x:c r="S20" s="24" t="str">
        <x:v>Atlas</x:v>
      </x:c>
      <x:c r="T20" s="24" t="str">
        <x:v>Atlas</x:v>
      </x:c>
      <x:c r="U20" s="24" t="str">
        <x:v>Atlas</x:v>
      </x:c>
      <x:c r="V20" s="24" t="str">
        <x:v>Atlas</x:v>
      </x:c>
      <x:c r="W20" s="24" t="str">
        <x:v>6/6 actuelles</x:v>
      </x:c>
      <x:c r="X20" s="24" t="str">
        <x:v>6/6 actuelles</x:v>
      </x:c>
      <x:c r="Y20" s="24" t="str">
        <x:v>Périmée (0/6)</x:v>
      </x:c>
      <x:c r="Z20" s="24" t="str">
        <x:v>Périmée (0/6)</x:v>
      </x:c>
      <x:c r="AA20" s="23" t="str">
        <x:v>Validation navigateur passée. Publication exacte en attente de Thanh.</x:v>
      </x:c>
      <x:c r="AB20" s="21" t="str">
        <x:v>674f752f62b3179c8a21300c7796024f5935efc1</x:v>
      </x:c>
      <x:c r="AC20" s="21" t="str">
        <x:v>En cours</x:v>
      </x:c>
    </x:row>
    <x:row r="21" ht="40" customHeight="1">
      <x:c r="A21" s="22" t="str">
        <x:v>Oiseau</x:v>
      </x:c>
      <x:c r="B21" s="22" t="str">
        <x:v>bird</x:v>
      </x:c>
      <x:c r="C21" s="26" t="n">
        <x:v>11</x:v>
      </x:c>
      <x:c r="D21" s="24" t="str">
        <x:v>Lot 02</x:v>
      </x:c>
      <x:c r="E21" s="25" t="str">
        <x:v>Animaux</x:v>
      </x:c>
      <x:c r="F21" s="24" t="str">
        <x:f>IF(AND(G21=8,COUNTIF(Q21:V21,"Atlas")=6),"Intégré","À faire")</x:f>
        <x:v>Intégré</x:v>
      </x:c>
      <x:c r="G21" s="27" t="n">
        <x:f>COUNTIF(I21:P21,"Présent")</x:f>
        <x:v>8</x:v>
      </x:c>
      <x:c r="H21" s="24" t="str">
        <x:v>Disponible</x:v>
      </x:c>
      <x:c r="I21" s="24" t="str">
        <x:v>Présent</x:v>
      </x:c>
      <x:c r="J21" s="24" t="str">
        <x:v>Présent</x:v>
      </x:c>
      <x:c r="K21" s="24" t="str">
        <x:v>Présent</x:v>
      </x:c>
      <x:c r="L21" s="24" t="str">
        <x:v>Présent</x:v>
      </x:c>
      <x:c r="M21" s="24" t="str">
        <x:v>Présent</x:v>
      </x:c>
      <x:c r="N21" s="24" t="str">
        <x:v>Présent</x:v>
      </x:c>
      <x:c r="O21" s="24" t="str">
        <x:v>Présent</x:v>
      </x:c>
      <x:c r="P21" s="24" t="str">
        <x:v>Présent</x:v>
      </x:c>
      <x:c r="Q21" s="24" t="str">
        <x:v>Atlas</x:v>
      </x:c>
      <x:c r="R21" s="24" t="str">
        <x:v>Atlas</x:v>
      </x:c>
      <x:c r="S21" s="24" t="str">
        <x:v>Atlas</x:v>
      </x:c>
      <x:c r="T21" s="24" t="str">
        <x:v>Atlas</x:v>
      </x:c>
      <x:c r="U21" s="24" t="str">
        <x:v>Atlas</x:v>
      </x:c>
      <x:c r="V21" s="24" t="str">
        <x:v>Atlas</x:v>
      </x:c>
      <x:c r="W21" s="24" t="str">
        <x:v>6/6 actuelles</x:v>
      </x:c>
      <x:c r="X21" s="24" t="str">
        <x:v>6/6 actuelles</x:v>
      </x:c>
      <x:c r="Y21" s="24" t="str">
        <x:v>Périmée (0/6)</x:v>
      </x:c>
      <x:c r="Z21" s="24" t="str">
        <x:v>Périmée (0/6)</x:v>
      </x:c>
      <x:c r="AA21" s="23" t="str">
        <x:v>Validation navigateur passée. Publication exacte en attente de Thanh.</x:v>
      </x:c>
      <x:c r="AB21" s="21" t="str">
        <x:v>674f752f62b3179c8a21300c7796024f5935efc1</x:v>
      </x:c>
      <x:c r="AC21" s="21" t="str">
        <x:v>En cours</x:v>
      </x:c>
    </x:row>
    <x:row r="22" ht="40" customHeight="1">
      <x:c r="A22" s="22" t="str">
        <x:v>Porte</x:v>
      </x:c>
      <x:c r="B22" s="22" t="str">
        <x:v>door</x:v>
      </x:c>
      <x:c r="C22" s="26" t="n">
        <x:v>12</x:v>
      </x:c>
      <x:c r="D22" s="24" t="str">
        <x:v>Lot 02</x:v>
      </x:c>
      <x:c r="E22" s="25" t="str">
        <x:v>Objets</x:v>
      </x:c>
      <x:c r="F22" s="24" t="str">
        <x:f>IF(AND(G22=8,COUNTIF(Q22:V22,"Atlas")=6),"Intégré","À faire")</x:f>
        <x:v>Intégré</x:v>
      </x:c>
      <x:c r="G22" s="27" t="n">
        <x:f>COUNTIF(I22:P22,"Présent")</x:f>
        <x:v>8</x:v>
      </x:c>
      <x:c r="H22" s="24" t="str">
        <x:v>Disponible</x:v>
      </x:c>
      <x:c r="I22" s="24" t="str">
        <x:v>Présent</x:v>
      </x:c>
      <x:c r="J22" s="24" t="str">
        <x:v>Présent</x:v>
      </x:c>
      <x:c r="K22" s="24" t="str">
        <x:v>Présent</x:v>
      </x:c>
      <x:c r="L22" s="24" t="str">
        <x:v>Présent</x:v>
      </x:c>
      <x:c r="M22" s="24" t="str">
        <x:v>Présent</x:v>
      </x:c>
      <x:c r="N22" s="24" t="str">
        <x:v>Présent</x:v>
      </x:c>
      <x:c r="O22" s="24" t="str">
        <x:v>Présent</x:v>
      </x:c>
      <x:c r="P22" s="24" t="str">
        <x:v>Présent</x:v>
      </x:c>
      <x:c r="Q22" s="24" t="str">
        <x:v>Atlas</x:v>
      </x:c>
      <x:c r="R22" s="24" t="str">
        <x:v>Atlas</x:v>
      </x:c>
      <x:c r="S22" s="24" t="str">
        <x:v>Atlas</x:v>
      </x:c>
      <x:c r="T22" s="24" t="str">
        <x:v>Atlas</x:v>
      </x:c>
      <x:c r="U22" s="24" t="str">
        <x:v>Atlas</x:v>
      </x:c>
      <x:c r="V22" s="24" t="str">
        <x:v>Atlas</x:v>
      </x:c>
      <x:c r="W22" s="24" t="str">
        <x:v>6/6 actuelles</x:v>
      </x:c>
      <x:c r="X22" s="24" t="str">
        <x:v>6/6 actuelles</x:v>
      </x:c>
      <x:c r="Y22" s="24" t="str">
        <x:v>Périmée (0/6)</x:v>
      </x:c>
      <x:c r="Z22" s="24" t="str">
        <x:v>Périmée (0/6)</x:v>
      </x:c>
      <x:c r="AA22" s="23" t="str">
        <x:v>Validation navigateur passée. Publication exacte en attente de Thanh.</x:v>
      </x:c>
      <x:c r="AB22" s="21" t="str">
        <x:v>674f752f62b3179c8a21300c7796024f5935efc1</x:v>
      </x:c>
      <x:c r="AC22" s="21" t="str">
        <x:v>En cours</x:v>
      </x:c>
    </x:row>
    <x:row r="23" ht="40" customHeight="1">
      <x:c r="A23" s="22" t="str">
        <x:v>Train</x:v>
      </x:c>
      <x:c r="B23" s="22" t="str">
        <x:v>train</x:v>
      </x:c>
      <x:c r="C23" s="26" t="n">
        <x:v>13</x:v>
      </x:c>
      <x:c r="D23" s="24" t="str">
        <x:v>Lot 02</x:v>
      </x:c>
      <x:c r="E23" s="25" t="str">
        <x:v>Objets</x:v>
      </x:c>
      <x:c r="F23" s="24" t="str">
        <x:f>IF(AND(G23=8,COUNTIF(Q23:V23,"Atlas")=6),"Intégré","À faire")</x:f>
        <x:v>Intégré</x:v>
      </x:c>
      <x:c r="G23" s="27" t="n">
        <x:f>COUNTIF(I23:P23,"Présent")</x:f>
        <x:v>8</x:v>
      </x:c>
      <x:c r="H23" s="24" t="str">
        <x:v>Disponible</x:v>
      </x:c>
      <x:c r="I23" s="24" t="str">
        <x:v>Présent</x:v>
      </x:c>
      <x:c r="J23" s="24" t="str">
        <x:v>Présent</x:v>
      </x:c>
      <x:c r="K23" s="24" t="str">
        <x:v>Présent</x:v>
      </x:c>
      <x:c r="L23" s="24" t="str">
        <x:v>Présent</x:v>
      </x:c>
      <x:c r="M23" s="24" t="str">
        <x:v>Présent</x:v>
      </x:c>
      <x:c r="N23" s="24" t="str">
        <x:v>Présent</x:v>
      </x:c>
      <x:c r="O23" s="24" t="str">
        <x:v>Présent</x:v>
      </x:c>
      <x:c r="P23" s="24" t="str">
        <x:v>Présent</x:v>
      </x:c>
      <x:c r="Q23" s="24" t="str">
        <x:v>Atlas</x:v>
      </x:c>
      <x:c r="R23" s="24" t="str">
        <x:v>Atlas</x:v>
      </x:c>
      <x:c r="S23" s="24" t="str">
        <x:v>Atlas</x:v>
      </x:c>
      <x:c r="T23" s="24" t="str">
        <x:v>Atlas</x:v>
      </x:c>
      <x:c r="U23" s="24" t="str">
        <x:v>Atlas</x:v>
      </x:c>
      <x:c r="V23" s="24" t="str">
        <x:v>Atlas</x:v>
      </x:c>
      <x:c r="W23" s="24" t="str">
        <x:v>6/6 actuelles</x:v>
      </x:c>
      <x:c r="X23" s="24" t="str">
        <x:v>6/6 actuelles</x:v>
      </x:c>
      <x:c r="Y23" s="24" t="str">
        <x:v>Périmée (0/6)</x:v>
      </x:c>
      <x:c r="Z23" s="24" t="str">
        <x:v>Périmée (0/6)</x:v>
      </x:c>
      <x:c r="AA23" s="23" t="str">
        <x:v>Validation navigateur passée. Publication exacte en attente de Thanh.</x:v>
      </x:c>
      <x:c r="AB23" s="21" t="str">
        <x:v>674f752f62b3179c8a21300c7796024f5935efc1</x:v>
      </x:c>
      <x:c r="AC23" s="21" t="str">
        <x:v>En cours</x:v>
      </x:c>
    </x:row>
    <x:row r="24" ht="40" customHeight="1">
      <x:c r="A24" s="22" t="str">
        <x:v>Chien</x:v>
      </x:c>
      <x:c r="B24" s="22" t="str">
        <x:v>dog</x:v>
      </x:c>
      <x:c r="C24" s="26" t="n">
        <x:v>14</x:v>
      </x:c>
      <x:c r="D24" s="24" t="str">
        <x:v>Lot 03</x:v>
      </x:c>
      <x:c r="E24" s="25" t="str">
        <x:v>Animaux</x:v>
      </x:c>
      <x:c r="F24" s="24" t="str">
        <x:f>IF(AND(G24=8,COUNTIF(Q24:V24,"Atlas")=6),"Intégré","À faire")</x:f>
        <x:v>Intégré</x:v>
      </x:c>
      <x:c r="G24" s="27" t="n">
        <x:f>COUNTIF(I24:P24,"Présent")</x:f>
        <x:v>8</x:v>
      </x:c>
      <x:c r="H24" s="24" t="str">
        <x:v>Disponible</x:v>
      </x:c>
      <x:c r="I24" s="24" t="str">
        <x:v>Présent</x:v>
      </x:c>
      <x:c r="J24" s="24" t="str">
        <x:v>Présent</x:v>
      </x:c>
      <x:c r="K24" s="24" t="str">
        <x:v>Présent</x:v>
      </x:c>
      <x:c r="L24" s="24" t="str">
        <x:v>Présent</x:v>
      </x:c>
      <x:c r="M24" s="24" t="str">
        <x:v>Présent</x:v>
      </x:c>
      <x:c r="N24" s="24" t="str">
        <x:v>Présent</x:v>
      </x:c>
      <x:c r="O24" s="24" t="str">
        <x:v>Présent</x:v>
      </x:c>
      <x:c r="P24" s="24" t="str">
        <x:v>Présent</x:v>
      </x:c>
      <x:c r="Q24" s="24" t="str">
        <x:v>Atlas</x:v>
      </x:c>
      <x:c r="R24" s="24" t="str">
        <x:v>Atlas</x:v>
      </x:c>
      <x:c r="S24" s="24" t="str">
        <x:v>Atlas</x:v>
      </x:c>
      <x:c r="T24" s="24" t="str">
        <x:v>Atlas</x:v>
      </x:c>
      <x:c r="U24" s="24" t="str">
        <x:v>Atlas</x:v>
      </x:c>
      <x:c r="V24" s="24" t="str">
        <x:v>Atlas</x:v>
      </x:c>
      <x:c r="W24" s="24" t="str">
        <x:v>6/6 actuelles</x:v>
      </x:c>
      <x:c r="X24" s="24" t="str">
        <x:v>6/6 actuelles</x:v>
      </x:c>
      <x:c r="Y24" s="24" t="str">
        <x:v>Périmée (0/6)</x:v>
      </x:c>
      <x:c r="Z24" s="24" t="str">
        <x:v>Périmée (0/6)</x:v>
      </x:c>
      <x:c r="AA24" s="23" t="str">
        <x:v>Validation navigateur passée. Publication exacte en attente de Thanh.</x:v>
      </x:c>
      <x:c r="AB24" s="21" t="str">
        <x:v>674f752f62b3179c8a21300c7796024f5935efc1</x:v>
      </x:c>
      <x:c r="AC24" s="21" t="str">
        <x:v>En cours</x:v>
      </x:c>
    </x:row>
    <x:row r="25" ht="40" customHeight="1">
      <x:c r="A25" s="22" t="str">
        <x:v>Dents (perdre ses dents)</x:v>
      </x:c>
      <x:c r="B25" s="22" t="str">
        <x:v>teeth</x:v>
      </x:c>
      <x:c r="C25" s="26" t="n">
        <x:v>15</x:v>
      </x:c>
      <x:c r="D25" s="24" t="str">
        <x:v>Lot 03</x:v>
      </x:c>
      <x:c r="E25" s="25" t="str">
        <x:v>Corps</x:v>
      </x:c>
      <x:c r="F25" s="24" t="str">
        <x:f>IF(AND(G25=8,COUNTIF(Q25:V25,"Atlas")=6),"Intégré","À faire")</x:f>
        <x:v>Intégré</x:v>
      </x:c>
      <x:c r="G25" s="27" t="n">
        <x:f>COUNTIF(I25:P25,"Présent")</x:f>
        <x:v>8</x:v>
      </x:c>
      <x:c r="H25" s="24" t="str">
        <x:v>Disponible</x:v>
      </x:c>
      <x:c r="I25" s="24" t="str">
        <x:v>Présent</x:v>
      </x:c>
      <x:c r="J25" s="24" t="str">
        <x:v>Présent</x:v>
      </x:c>
      <x:c r="K25" s="24" t="str">
        <x:v>Présent</x:v>
      </x:c>
      <x:c r="L25" s="24" t="str">
        <x:v>Présent</x:v>
      </x:c>
      <x:c r="M25" s="24" t="str">
        <x:v>Présent</x:v>
      </x:c>
      <x:c r="N25" s="24" t="str">
        <x:v>Présent</x:v>
      </x:c>
      <x:c r="O25" s="24" t="str">
        <x:v>Présent</x:v>
      </x:c>
      <x:c r="P25" s="24" t="str">
        <x:v>Présent</x:v>
      </x:c>
      <x:c r="Q25" s="24" t="str">
        <x:v>Atlas</x:v>
      </x:c>
      <x:c r="R25" s="24" t="str">
        <x:v>Atlas</x:v>
      </x:c>
      <x:c r="S25" s="24" t="str">
        <x:v>Atlas</x:v>
      </x:c>
      <x:c r="T25" s="24" t="str">
        <x:v>Atlas</x:v>
      </x:c>
      <x:c r="U25" s="24" t="str">
        <x:v>Atlas</x:v>
      </x:c>
      <x:c r="V25" s="24" t="str">
        <x:v>Atlas</x:v>
      </x:c>
      <x:c r="W25" s="24" t="str">
        <x:v>6/6 actuelles</x:v>
      </x:c>
      <x:c r="X25" s="24" t="str">
        <x:v>6/6 actuelles</x:v>
      </x:c>
      <x:c r="Y25" s="24" t="str">
        <x:v>Périmée (0/6)</x:v>
      </x:c>
      <x:c r="Z25" s="24" t="str">
        <x:v>Périmée (0/6)</x:v>
      </x:c>
      <x:c r="AA25" s="23" t="str">
        <x:v>Validation navigateur passée. Publication exacte en attente de Thanh.</x:v>
      </x:c>
      <x:c r="AB25" s="21" t="str">
        <x:v>674f752f62b3179c8a21300c7796024f5935efc1</x:v>
      </x:c>
      <x:c r="AC25" s="21" t="str">
        <x:v>En cours</x:v>
      </x:c>
    </x:row>
    <x:row r="26" ht="40" customHeight="1">
      <x:c r="A26" s="22" t="str">
        <x:v>Eau</x:v>
      </x:c>
      <x:c r="B26" s="22" t="str">
        <x:v>water</x:v>
      </x:c>
      <x:c r="C26" s="26" t="n">
        <x:v>16</x:v>
      </x:c>
      <x:c r="D26" s="24" t="str">
        <x:v>Lot 03</x:v>
      </x:c>
      <x:c r="E26" s="25" t="str">
        <x:v>Nature</x:v>
      </x:c>
      <x:c r="F26" s="24" t="str">
        <x:f>IF(AND(G26=8,COUNTIF(Q26:V26,"Atlas")=6),"Intégré","À faire")</x:f>
        <x:v>Intégré</x:v>
      </x:c>
      <x:c r="G26" s="27" t="n">
        <x:f>COUNTIF(I26:P26,"Présent")</x:f>
        <x:v>8</x:v>
      </x:c>
      <x:c r="H26" s="24" t="str">
        <x:v>Disponible</x:v>
      </x:c>
      <x:c r="I26" s="24" t="str">
        <x:v>Présent</x:v>
      </x:c>
      <x:c r="J26" s="24" t="str">
        <x:v>Présent</x:v>
      </x:c>
      <x:c r="K26" s="24" t="str">
        <x:v>Présent</x:v>
      </x:c>
      <x:c r="L26" s="24" t="str">
        <x:v>Présent</x:v>
      </x:c>
      <x:c r="M26" s="24" t="str">
        <x:v>Présent</x:v>
      </x:c>
      <x:c r="N26" s="24" t="str">
        <x:v>Présent</x:v>
      </x:c>
      <x:c r="O26" s="24" t="str">
        <x:v>Présent</x:v>
      </x:c>
      <x:c r="P26" s="24" t="str">
        <x:v>Présent</x:v>
      </x:c>
      <x:c r="Q26" s="24" t="str">
        <x:v>Atlas</x:v>
      </x:c>
      <x:c r="R26" s="24" t="str">
        <x:v>Atlas</x:v>
      </x:c>
      <x:c r="S26" s="24" t="str">
        <x:v>Atlas</x:v>
      </x:c>
      <x:c r="T26" s="24" t="str">
        <x:v>Atlas</x:v>
      </x:c>
      <x:c r="U26" s="24" t="str">
        <x:v>Atlas</x:v>
      </x:c>
      <x:c r="V26" s="24" t="str">
        <x:v>Atlas</x:v>
      </x:c>
      <x:c r="W26" s="24" t="str">
        <x:v>6/6 actuelles</x:v>
      </x:c>
      <x:c r="X26" s="24" t="str">
        <x:v>6/6 actuelles</x:v>
      </x:c>
      <x:c r="Y26" s="24" t="str">
        <x:v>Périmée (0/6)</x:v>
      </x:c>
      <x:c r="Z26" s="24" t="str">
        <x:v>Périmée (0/6)</x:v>
      </x:c>
      <x:c r="AA26" s="23" t="str">
        <x:v>Validation navigateur passée. Publication exacte en attente de Thanh.</x:v>
      </x:c>
      <x:c r="AB26" s="21" t="str">
        <x:v>674f752f62b3179c8a21300c7796024f5935efc1</x:v>
      </x:c>
      <x:c r="AC26" s="21" t="str">
        <x:v>En cours</x:v>
      </x:c>
    </x:row>
    <x:row r="27" ht="40" customHeight="1">
      <x:c r="A27" s="22" t="str">
        <x:v>Pont</x:v>
      </x:c>
      <x:c r="B27" s="22" t="str">
        <x:v>bridge</x:v>
      </x:c>
      <x:c r="C27" s="26" t="n">
        <x:v>17</x:v>
      </x:c>
      <x:c r="D27" s="24" t="str">
        <x:v>Lot 03</x:v>
      </x:c>
      <x:c r="E27" s="25" t="str">
        <x:v>Lieux</x:v>
      </x:c>
      <x:c r="F27" s="24" t="str">
        <x:f>IF(AND(G27=8,COUNTIF(Q27:V27,"Atlas")=6),"Intégré","À faire")</x:f>
        <x:v>Intégré</x:v>
      </x:c>
      <x:c r="G27" s="27" t="n">
        <x:f>COUNTIF(I27:P27,"Présent")</x:f>
        <x:v>8</x:v>
      </x:c>
      <x:c r="H27" s="24" t="str">
        <x:v>Disponible</x:v>
      </x:c>
      <x:c r="I27" s="24" t="str">
        <x:v>Présent</x:v>
      </x:c>
      <x:c r="J27" s="24" t="str">
        <x:v>Présent</x:v>
      </x:c>
      <x:c r="K27" s="24" t="str">
        <x:v>Présent</x:v>
      </x:c>
      <x:c r="L27" s="24" t="str">
        <x:v>Présent</x:v>
      </x:c>
      <x:c r="M27" s="24" t="str">
        <x:v>Présent</x:v>
      </x:c>
      <x:c r="N27" s="24" t="str">
        <x:v>Présent</x:v>
      </x:c>
      <x:c r="O27" s="24" t="str">
        <x:v>Présent</x:v>
      </x:c>
      <x:c r="P27" s="24" t="str">
        <x:v>Présent</x:v>
      </x:c>
      <x:c r="Q27" s="24" t="str">
        <x:v>Atlas</x:v>
      </x:c>
      <x:c r="R27" s="24" t="str">
        <x:v>Atlas</x:v>
      </x:c>
      <x:c r="S27" s="24" t="str">
        <x:v>Atlas</x:v>
      </x:c>
      <x:c r="T27" s="24" t="str">
        <x:v>Atlas</x:v>
      </x:c>
      <x:c r="U27" s="24" t="str">
        <x:v>Atlas</x:v>
      </x:c>
      <x:c r="V27" s="24" t="str">
        <x:v>Atlas</x:v>
      </x:c>
      <x:c r="W27" s="24" t="str">
        <x:v>6/6 actuelles</x:v>
      </x:c>
      <x:c r="X27" s="24" t="str">
        <x:v>6/6 actuelles</x:v>
      </x:c>
      <x:c r="Y27" s="24" t="str">
        <x:v>Périmée (0/6)</x:v>
      </x:c>
      <x:c r="Z27" s="24" t="str">
        <x:v>Périmée (0/6)</x:v>
      </x:c>
      <x:c r="AA27" s="23" t="str">
        <x:v>Validation navigateur passée. Publication exacte en attente de Thanh.</x:v>
      </x:c>
      <x:c r="AB27" s="21" t="str">
        <x:v>674f752f62b3179c8a21300c7796024f5935efc1</x:v>
      </x:c>
      <x:c r="AC27" s="21" t="str">
        <x:v>En cours</x:v>
      </x:c>
    </x:row>
    <x:row r="28" ht="40" customHeight="1">
      <x:c r="A28" s="22" t="str">
        <x:v>Voiture</x:v>
      </x:c>
      <x:c r="B28" s="22" t="str">
        <x:v>car</x:v>
      </x:c>
      <x:c r="C28" s="26" t="n">
        <x:v>18</x:v>
      </x:c>
      <x:c r="D28" s="24" t="str">
        <x:v>Lot 03</x:v>
      </x:c>
      <x:c r="E28" s="25" t="str">
        <x:v>Objets</x:v>
      </x:c>
      <x:c r="F28" s="24" t="str">
        <x:f>IF(AND(G28=8,COUNTIF(Q28:V28,"Atlas")=6),"Intégré","À faire")</x:f>
        <x:v>Intégré</x:v>
      </x:c>
      <x:c r="G28" s="27" t="n">
        <x:f>COUNTIF(I28:P28,"Présent")</x:f>
        <x:v>8</x:v>
      </x:c>
      <x:c r="H28" s="24" t="str">
        <x:v>Disponible</x:v>
      </x:c>
      <x:c r="I28" s="24" t="str">
        <x:v>Présent</x:v>
      </x:c>
      <x:c r="J28" s="24" t="str">
        <x:v>Présent</x:v>
      </x:c>
      <x:c r="K28" s="24" t="str">
        <x:v>Présent</x:v>
      </x:c>
      <x:c r="L28" s="24" t="str">
        <x:v>Présent</x:v>
      </x:c>
      <x:c r="M28" s="24" t="str">
        <x:v>Présent</x:v>
      </x:c>
      <x:c r="N28" s="24" t="str">
        <x:v>Présent</x:v>
      </x:c>
      <x:c r="O28" s="24" t="str">
        <x:v>Présent</x:v>
      </x:c>
      <x:c r="P28" s="24" t="str">
        <x:v>Présent</x:v>
      </x:c>
      <x:c r="Q28" s="24" t="str">
        <x:v>Atlas</x:v>
      </x:c>
      <x:c r="R28" s="24" t="str">
        <x:v>Atlas</x:v>
      </x:c>
      <x:c r="S28" s="24" t="str">
        <x:v>Atlas</x:v>
      </x:c>
      <x:c r="T28" s="24" t="str">
        <x:v>Atlas</x:v>
      </x:c>
      <x:c r="U28" s="24" t="str">
        <x:v>Atlas</x:v>
      </x:c>
      <x:c r="V28" s="24" t="str">
        <x:v>Atlas</x:v>
      </x:c>
      <x:c r="W28" s="24" t="str">
        <x:v>6/6 actuelles</x:v>
      </x:c>
      <x:c r="X28" s="24" t="str">
        <x:v>6/6 actuelles</x:v>
      </x:c>
      <x:c r="Y28" s="24" t="str">
        <x:v>Périmée (0/6)</x:v>
      </x:c>
      <x:c r="Z28" s="24" t="str">
        <x:v>Périmée (0/6)</x:v>
      </x:c>
      <x:c r="AA28" s="23" t="str">
        <x:v>Validation navigateur passée. Publication exacte en attente de Thanh.</x:v>
      </x:c>
      <x:c r="AB28" s="21" t="str">
        <x:v>674f752f62b3179c8a21300c7796024f5935efc1</x:v>
      </x:c>
      <x:c r="AC28" s="21" t="str">
        <x:v>En cours</x:v>
      </x:c>
    </x:row>
    <x:row r="29" ht="40" customHeight="1">
      <x:c r="A29" s="22" t="str">
        <x:v>Voler</x:v>
      </x:c>
      <x:c r="B29" s="22" t="str">
        <x:v>flying</x:v>
      </x:c>
      <x:c r="C29" s="26" t="n">
        <x:v>19</x:v>
      </x:c>
      <x:c r="D29" s="24" t="str">
        <x:v>Lot 03</x:v>
      </x:c>
      <x:c r="E29" s="25" t="str">
        <x:v>Actions</x:v>
      </x:c>
      <x:c r="F29" s="24" t="str">
        <x:f>IF(AND(G29=8,COUNTIF(Q29:V29,"Atlas")=6),"Intégré","À faire")</x:f>
        <x:v>Intégré</x:v>
      </x:c>
      <x:c r="G29" s="27" t="n">
        <x:f>COUNTIF(I29:P29,"Présent")</x:f>
        <x:v>8</x:v>
      </x:c>
      <x:c r="H29" s="24" t="str">
        <x:v>Disponible</x:v>
      </x:c>
      <x:c r="I29" s="24" t="str">
        <x:v>Présent</x:v>
      </x:c>
      <x:c r="J29" s="24" t="str">
        <x:v>Présent</x:v>
      </x:c>
      <x:c r="K29" s="24" t="str">
        <x:v>Présent</x:v>
      </x:c>
      <x:c r="L29" s="24" t="str">
        <x:v>Présent</x:v>
      </x:c>
      <x:c r="M29" s="24" t="str">
        <x:v>Présent</x:v>
      </x:c>
      <x:c r="N29" s="24" t="str">
        <x:v>Présent</x:v>
      </x:c>
      <x:c r="O29" s="24" t="str">
        <x:v>Présent</x:v>
      </x:c>
      <x:c r="P29" s="24" t="str">
        <x:v>Présent</x:v>
      </x:c>
      <x:c r="Q29" s="24" t="str">
        <x:v>Atlas</x:v>
      </x:c>
      <x:c r="R29" s="24" t="str">
        <x:v>Atlas</x:v>
      </x:c>
      <x:c r="S29" s="24" t="str">
        <x:v>Atlas</x:v>
      </x:c>
      <x:c r="T29" s="24" t="str">
        <x:v>Atlas</x:v>
      </x:c>
      <x:c r="U29" s="24" t="str">
        <x:v>Atlas</x:v>
      </x:c>
      <x:c r="V29" s="24" t="str">
        <x:v>Atlas</x:v>
      </x:c>
      <x:c r="W29" s="24" t="str">
        <x:v>6/6 actuelles</x:v>
      </x:c>
      <x:c r="X29" s="24" t="str">
        <x:v>6/6 actuelles</x:v>
      </x:c>
      <x:c r="Y29" s="24" t="str">
        <x:v>Périmée (0/6)</x:v>
      </x:c>
      <x:c r="Z29" s="24" t="str">
        <x:v>Périmée (0/6)</x:v>
      </x:c>
      <x:c r="AA29" s="23" t="str">
        <x:v>Validation navigateur passée. Publication exacte en attente de Thanh.</x:v>
      </x:c>
      <x:c r="AB29" s="21" t="str">
        <x:v>674f752f62b3179c8a21300c7796024f5935efc1</x:v>
      </x:c>
      <x:c r="AC29" s="21" t="str">
        <x:v>En cours</x:v>
      </x:c>
    </x:row>
    <x:row r="30" ht="40" customHeight="1">
      <x:c r="A30" s="22" t="str">
        <x:v>Chat</x:v>
      </x:c>
      <x:c r="B30" s="22" t="str">
        <x:v>cat</x:v>
      </x:c>
      <x:c r="C30" s="26" t="n">
        <x:v>20</x:v>
      </x:c>
      <x:c r="D30" s="24" t="str">
        <x:v>Lot 04</x:v>
      </x:c>
      <x:c r="E30" s="25" t="str">
        <x:v>Animaux</x:v>
      </x:c>
      <x:c r="F30" s="24" t="str">
        <x:f>IF(AND(G30=8,COUNTIF(Q30:V30,"Atlas")=6),"Intégré","À faire")</x:f>
        <x:v>Intégré</x:v>
      </x:c>
      <x:c r="G30" s="27" t="n">
        <x:f>COUNTIF(I30:P30,"Présent")</x:f>
        <x:v>8</x:v>
      </x:c>
      <x:c r="H30" s="24" t="str">
        <x:v>Disponible</x:v>
      </x:c>
      <x:c r="I30" s="24" t="str">
        <x:v>Présent</x:v>
      </x:c>
      <x:c r="J30" s="24" t="str">
        <x:v>Présent</x:v>
      </x:c>
      <x:c r="K30" s="24" t="str">
        <x:v>Présent</x:v>
      </x:c>
      <x:c r="L30" s="24" t="str">
        <x:v>Présent</x:v>
      </x:c>
      <x:c r="M30" s="24" t="str">
        <x:v>Présent</x:v>
      </x:c>
      <x:c r="N30" s="24" t="str">
        <x:v>Présent</x:v>
      </x:c>
      <x:c r="O30" s="24" t="str">
        <x:v>Présent</x:v>
      </x:c>
      <x:c r="P30" s="24" t="str">
        <x:v>Présent</x:v>
      </x:c>
      <x:c r="Q30" s="24" t="str">
        <x:v>Atlas</x:v>
      </x:c>
      <x:c r="R30" s="24" t="str">
        <x:v>Atlas</x:v>
      </x:c>
      <x:c r="S30" s="24" t="str">
        <x:v>Atlas</x:v>
      </x:c>
      <x:c r="T30" s="24" t="str">
        <x:v>Atlas</x:v>
      </x:c>
      <x:c r="U30" s="24" t="str">
        <x:v>Atlas</x:v>
      </x:c>
      <x:c r="V30" s="24" t="str">
        <x:v>Atlas</x:v>
      </x:c>
      <x:c r="W30" s="24" t="str">
        <x:v>6/6 actuelles</x:v>
      </x:c>
      <x:c r="X30" s="24" t="str">
        <x:v>6/6 actuelles</x:v>
      </x:c>
      <x:c r="Y30" s="24" t="str">
        <x:v>Périmée (0/6)</x:v>
      </x:c>
      <x:c r="Z30" s="24" t="str">
        <x:v>Périmée (0/6)</x:v>
      </x:c>
      <x:c r="AA30" s="23" t="str">
        <x:v>Validation navigateur passée. Publication exacte en attente de Thanh.</x:v>
      </x:c>
      <x:c r="AB30" s="21" t="str">
        <x:v>674f752f62b3179c8a21300c7796024f5935efc1</x:v>
      </x:c>
      <x:c r="AC30" s="21" t="str">
        <x:v>En cours</x:v>
      </x:c>
    </x:row>
    <x:row r="31" ht="40" customHeight="1">
      <x:c r="A31" s="22" t="str">
        <x:v>Clé</x:v>
      </x:c>
      <x:c r="B31" s="22" t="str">
        <x:v>key</x:v>
      </x:c>
      <x:c r="C31" s="26" t="n">
        <x:v>21</x:v>
      </x:c>
      <x:c r="D31" s="24" t="str">
        <x:v>Lot 04</x:v>
      </x:c>
      <x:c r="E31" s="25" t="str">
        <x:v>Objets</x:v>
      </x:c>
      <x:c r="F31" s="24" t="str">
        <x:f>IF(AND(G31=8,COUNTIF(Q31:V31,"Atlas")=6),"Intégré","À faire")</x:f>
        <x:v>Intégré</x:v>
      </x:c>
      <x:c r="G31" s="27" t="n">
        <x:f>COUNTIF(I31:P31,"Présent")</x:f>
        <x:v>8</x:v>
      </x:c>
      <x:c r="H31" s="24" t="str">
        <x:v>Disponible</x:v>
      </x:c>
      <x:c r="I31" s="24" t="str">
        <x:v>Présent</x:v>
      </x:c>
      <x:c r="J31" s="24" t="str">
        <x:v>Présent</x:v>
      </x:c>
      <x:c r="K31" s="24" t="str">
        <x:v>Présent</x:v>
      </x:c>
      <x:c r="L31" s="24" t="str">
        <x:v>Présent</x:v>
      </x:c>
      <x:c r="M31" s="24" t="str">
        <x:v>Présent</x:v>
      </x:c>
      <x:c r="N31" s="24" t="str">
        <x:v>Présent</x:v>
      </x:c>
      <x:c r="O31" s="24" t="str">
        <x:v>Présent</x:v>
      </x:c>
      <x:c r="P31" s="24" t="str">
        <x:v>Présent</x:v>
      </x:c>
      <x:c r="Q31" s="24" t="str">
        <x:v>Atlas</x:v>
      </x:c>
      <x:c r="R31" s="24" t="str">
        <x:v>Atlas</x:v>
      </x:c>
      <x:c r="S31" s="24" t="str">
        <x:v>Atlas</x:v>
      </x:c>
      <x:c r="T31" s="24" t="str">
        <x:v>Atlas</x:v>
      </x:c>
      <x:c r="U31" s="24" t="str">
        <x:v>Atlas</x:v>
      </x:c>
      <x:c r="V31" s="24" t="str">
        <x:v>Atlas</x:v>
      </x:c>
      <x:c r="W31" s="24" t="str">
        <x:v>6/6 actuelles</x:v>
      </x:c>
      <x:c r="X31" s="24" t="str">
        <x:v>6/6 actuelles</x:v>
      </x:c>
      <x:c r="Y31" s="24" t="str">
        <x:v>Périmée (0/6)</x:v>
      </x:c>
      <x:c r="Z31" s="24" t="str">
        <x:v>Périmée (0/6)</x:v>
      </x:c>
      <x:c r="AA31" s="23" t="str">
        <x:v>Validation navigateur passée. Publication exacte en attente de Thanh.</x:v>
      </x:c>
      <x:c r="AB31" s="21" t="str">
        <x:v>674f752f62b3179c8a21300c7796024f5935efc1</x:v>
      </x:c>
      <x:c r="AC31" s="21" t="str">
        <x:v>En cours</x:v>
      </x:c>
    </x:row>
    <x:row r="32" ht="40" customHeight="1">
      <x:c r="A32" s="22" t="str">
        <x:v>Escalier</x:v>
      </x:c>
      <x:c r="B32" s="22" t="str">
        <x:v>stairs</x:v>
      </x:c>
      <x:c r="C32" s="26" t="n">
        <x:v>22</x:v>
      </x:c>
      <x:c r="D32" s="24" t="str">
        <x:v>Lot 04</x:v>
      </x:c>
      <x:c r="E32" s="25" t="str">
        <x:v>Lieux</x:v>
      </x:c>
      <x:c r="F32" s="24" t="str">
        <x:f>IF(AND(G32=8,COUNTIF(Q32:V32,"Atlas")=6),"Intégré","À faire")</x:f>
        <x:v>Intégré</x:v>
      </x:c>
      <x:c r="G32" s="27" t="n">
        <x:f>COUNTIF(I32:P32,"Présent")</x:f>
        <x:v>8</x:v>
      </x:c>
      <x:c r="H32" s="24" t="str">
        <x:v>Disponible</x:v>
      </x:c>
      <x:c r="I32" s="24" t="str">
        <x:v>Présent</x:v>
      </x:c>
      <x:c r="J32" s="24" t="str">
        <x:v>Présent</x:v>
      </x:c>
      <x:c r="K32" s="24" t="str">
        <x:v>Présent</x:v>
      </x:c>
      <x:c r="L32" s="24" t="str">
        <x:v>Présent</x:v>
      </x:c>
      <x:c r="M32" s="24" t="str">
        <x:v>Présent</x:v>
      </x:c>
      <x:c r="N32" s="24" t="str">
        <x:v>Présent</x:v>
      </x:c>
      <x:c r="O32" s="24" t="str">
        <x:v>Présent</x:v>
      </x:c>
      <x:c r="P32" s="24" t="str">
        <x:v>Présent</x:v>
      </x:c>
      <x:c r="Q32" s="24" t="str">
        <x:v>Atlas</x:v>
      </x:c>
      <x:c r="R32" s="24" t="str">
        <x:v>Atlas</x:v>
      </x:c>
      <x:c r="S32" s="24" t="str">
        <x:v>Atlas</x:v>
      </x:c>
      <x:c r="T32" s="24" t="str">
        <x:v>Atlas</x:v>
      </x:c>
      <x:c r="U32" s="24" t="str">
        <x:v>Atlas</x:v>
      </x:c>
      <x:c r="V32" s="24" t="str">
        <x:v>Atlas</x:v>
      </x:c>
      <x:c r="W32" s="24" t="str">
        <x:v>6/6 actuelles</x:v>
      </x:c>
      <x:c r="X32" s="24" t="str">
        <x:v>6/6 actuelles</x:v>
      </x:c>
      <x:c r="Y32" s="24" t="str">
        <x:v>Périmée (0/6)</x:v>
      </x:c>
      <x:c r="Z32" s="24" t="str">
        <x:v>Périmée (0/6)</x:v>
      </x:c>
      <x:c r="AA32" s="23" t="str">
        <x:v>Validation navigateur passée. Publication exacte en attente de Thanh.</x:v>
      </x:c>
      <x:c r="AB32" s="21" t="str">
        <x:v>674f752f62b3179c8a21300c7796024f5935efc1</x:v>
      </x:c>
      <x:c r="AC32" s="21" t="str">
        <x:v>En cours</x:v>
      </x:c>
    </x:row>
    <x:row r="33" ht="40" customHeight="1">
      <x:c r="A33" s="22" t="str">
        <x:v>Miroir</x:v>
      </x:c>
      <x:c r="B33" s="22" t="str">
        <x:v>mirror</x:v>
      </x:c>
      <x:c r="C33" s="26" t="n">
        <x:v>23</x:v>
      </x:c>
      <x:c r="D33" s="24" t="str">
        <x:v>Lot 04</x:v>
      </x:c>
      <x:c r="E33" s="25" t="str">
        <x:v>Objets</x:v>
      </x:c>
      <x:c r="F33" s="24" t="str">
        <x:f>IF(AND(G33=8,COUNTIF(Q33:V33,"Atlas")=6),"Intégré","À faire")</x:f>
        <x:v>Intégré</x:v>
      </x:c>
      <x:c r="G33" s="27" t="n">
        <x:f>COUNTIF(I33:P33,"Présent")</x:f>
        <x:v>8</x:v>
      </x:c>
      <x:c r="H33" s="24" t="str">
        <x:v>Disponible</x:v>
      </x:c>
      <x:c r="I33" s="24" t="str">
        <x:v>Présent</x:v>
      </x:c>
      <x:c r="J33" s="24" t="str">
        <x:v>Présent</x:v>
      </x:c>
      <x:c r="K33" s="24" t="str">
        <x:v>Présent</x:v>
      </x:c>
      <x:c r="L33" s="24" t="str">
        <x:v>Présent</x:v>
      </x:c>
      <x:c r="M33" s="24" t="str">
        <x:v>Présent</x:v>
      </x:c>
      <x:c r="N33" s="24" t="str">
        <x:v>Présent</x:v>
      </x:c>
      <x:c r="O33" s="24" t="str">
        <x:v>Présent</x:v>
      </x:c>
      <x:c r="P33" s="24" t="str">
        <x:v>Présent</x:v>
      </x:c>
      <x:c r="Q33" s="24" t="str">
        <x:v>Atlas</x:v>
      </x:c>
      <x:c r="R33" s="24" t="str">
        <x:v>Atlas</x:v>
      </x:c>
      <x:c r="S33" s="24" t="str">
        <x:v>Atlas</x:v>
      </x:c>
      <x:c r="T33" s="24" t="str">
        <x:v>Atlas</x:v>
      </x:c>
      <x:c r="U33" s="24" t="str">
        <x:v>Atlas</x:v>
      </x:c>
      <x:c r="V33" s="24" t="str">
        <x:v>Atlas</x:v>
      </x:c>
      <x:c r="W33" s="24" t="str">
        <x:v>6/6 actuelles</x:v>
      </x:c>
      <x:c r="X33" s="24" t="str">
        <x:v>6/6 actuelles</x:v>
      </x:c>
      <x:c r="Y33" s="24" t="str">
        <x:v>Périmée (0/6)</x:v>
      </x:c>
      <x:c r="Z33" s="24" t="str">
        <x:v>Périmée (0/6)</x:v>
      </x:c>
      <x:c r="AA33" s="23" t="str">
        <x:v>Validation navigateur passée. Publication exacte en attente de Thanh.</x:v>
      </x:c>
      <x:c r="AB33" s="21" t="str">
        <x:v>674f752f62b3179c8a21300c7796024f5935efc1</x:v>
      </x:c>
      <x:c r="AC33" s="21" t="str">
        <x:v>En cours</x:v>
      </x:c>
    </x:row>
    <x:row r="34" ht="40" customHeight="1">
      <x:c r="A34" s="22" t="str">
        <x:v>Montagne</x:v>
      </x:c>
      <x:c r="B34" s="22" t="str">
        <x:v>mountain</x:v>
      </x:c>
      <x:c r="C34" s="26" t="n">
        <x:v>24</x:v>
      </x:c>
      <x:c r="D34" s="24" t="str">
        <x:v>Lot 04</x:v>
      </x:c>
      <x:c r="E34" s="25" t="str">
        <x:v>Nature</x:v>
      </x:c>
      <x:c r="F34" s="24" t="str">
        <x:f>IF(AND(G34=8,COUNTIF(Q34:V34,"Atlas")=6),"Intégré","À faire")</x:f>
        <x:v>Intégré</x:v>
      </x:c>
      <x:c r="G34" s="27" t="n">
        <x:f>COUNTIF(I34:P34,"Présent")</x:f>
        <x:v>8</x:v>
      </x:c>
      <x:c r="H34" s="24" t="str">
        <x:v>Disponible</x:v>
      </x:c>
      <x:c r="I34" s="24" t="str">
        <x:v>Présent</x:v>
      </x:c>
      <x:c r="J34" s="24" t="str">
        <x:v>Présent</x:v>
      </x:c>
      <x:c r="K34" s="24" t="str">
        <x:v>Présent</x:v>
      </x:c>
      <x:c r="L34" s="24" t="str">
        <x:v>Présent</x:v>
      </x:c>
      <x:c r="M34" s="24" t="str">
        <x:v>Présent</x:v>
      </x:c>
      <x:c r="N34" s="24" t="str">
        <x:v>Présent</x:v>
      </x:c>
      <x:c r="O34" s="24" t="str">
        <x:v>Présent</x:v>
      </x:c>
      <x:c r="P34" s="24" t="str">
        <x:v>Présent</x:v>
      </x:c>
      <x:c r="Q34" s="24" t="str">
        <x:v>Atlas</x:v>
      </x:c>
      <x:c r="R34" s="24" t="str">
        <x:v>Atlas</x:v>
      </x:c>
      <x:c r="S34" s="24" t="str">
        <x:v>Atlas</x:v>
      </x:c>
      <x:c r="T34" s="24" t="str">
        <x:v>Atlas</x:v>
      </x:c>
      <x:c r="U34" s="24" t="str">
        <x:v>Atlas</x:v>
      </x:c>
      <x:c r="V34" s="24" t="str">
        <x:v>Atlas</x:v>
      </x:c>
      <x:c r="W34" s="24" t="str">
        <x:v>6/6 actuelles</x:v>
      </x:c>
      <x:c r="X34" s="24" t="str">
        <x:v>6/6 actuelles</x:v>
      </x:c>
      <x:c r="Y34" s="24" t="str">
        <x:v>Périmée (0/6)</x:v>
      </x:c>
      <x:c r="Z34" s="24" t="str">
        <x:v>Périmée (0/6)</x:v>
      </x:c>
      <x:c r="AA34" s="23" t="str">
        <x:v>Validation navigateur passée. Publication exacte en attente de Thanh.</x:v>
      </x:c>
      <x:c r="AB34" s="21" t="str">
        <x:v>674f752f62b3179c8a21300c7796024f5935efc1</x:v>
      </x:c>
      <x:c r="AC34" s="21" t="str">
        <x:v>En cours</x:v>
      </x:c>
    </x:row>
    <x:row r="35" ht="40" customHeight="1">
      <x:c r="A35" s="22" t="str">
        <x:v>Ongles</x:v>
      </x:c>
      <x:c r="B35" s="22" t="str">
        <x:v>nails</x:v>
      </x:c>
      <x:c r="C35" s="26" t="n">
        <x:v>25</x:v>
      </x:c>
      <x:c r="D35" s="24" t="str">
        <x:v>Lot 13</x:v>
      </x:c>
      <x:c r="E35" s="25" t="str">
        <x:v>Corps</x:v>
      </x:c>
      <x:c r="F35" s="24" t="str">
        <x:f>IF(AND(G35=8,COUNTIF(Q35:V35,"Atlas")=6),"Intégré","À faire")</x:f>
        <x:v>Intégré</x:v>
      </x:c>
      <x:c r="G35" s="27" t="n">
        <x:f>COUNTIF(I35:P35,"Présent")</x:f>
        <x:v>8</x:v>
      </x:c>
      <x:c r="H35" s="24" t="str">
        <x:v>Archivé Drive</x:v>
      </x:c>
      <x:c r="I35" s="24" t="str">
        <x:v>Présent</x:v>
      </x:c>
      <x:c r="J35" s="24" t="str">
        <x:v>Présent</x:v>
      </x:c>
      <x:c r="K35" s="24" t="str">
        <x:v>Présent</x:v>
      </x:c>
      <x:c r="L35" s="24" t="str">
        <x:v>Présent</x:v>
      </x:c>
      <x:c r="M35" s="24" t="str">
        <x:v>Présent</x:v>
      </x:c>
      <x:c r="N35" s="24" t="str">
        <x:v>Présent</x:v>
      </x:c>
      <x:c r="O35" s="24" t="str">
        <x:v>Présent</x:v>
      </x:c>
      <x:c r="P35" s="24" t="str">
        <x:v>Présent</x:v>
      </x:c>
      <x:c r="Q35" s="24" t="str">
        <x:v>Atlas</x:v>
      </x:c>
      <x:c r="R35" s="24" t="str">
        <x:v>Atlas</x:v>
      </x:c>
      <x:c r="S35" s="24" t="str">
        <x:v>Atlas</x:v>
      </x:c>
      <x:c r="T35" s="24" t="str">
        <x:v>Atlas</x:v>
      </x:c>
      <x:c r="U35" s="24" t="str">
        <x:v>Atlas</x:v>
      </x:c>
      <x:c r="V35" s="24" t="str">
        <x:v>Atlas</x:v>
      </x:c>
      <x:c r="W35" s="24" t="str">
        <x:v>6/6 actuelles</x:v>
      </x:c>
      <x:c r="X35" s="24" t="str">
        <x:v>6/6 actuelles</x:v>
      </x:c>
      <x:c r="Y35" s="24" t="str">
        <x:v>Non consignée</x:v>
      </x:c>
      <x:c r="Z35" s="24" t="str">
        <x:v>Périmée (0/6)</x:v>
      </x:c>
      <x:c r="AA35" s="23" t="str">
        <x:v>Validation navigateur passée. Publication exacte en attente de Thanh.</x:v>
      </x:c>
      <x:c r="AB35" s="21" t="str">
        <x:v>674f752f62b3179c8a21300c7796024f5935efc1</x:v>
      </x:c>
      <x:c r="AC35" s="21" t="str">
        <x:v>En cours</x:v>
      </x:c>
    </x:row>
    <x:row r="36" ht="40" customHeight="1">
      <x:c r="A36" s="22" t="str">
        <x:v>Pluie</x:v>
      </x:c>
      <x:c r="B36" s="22" t="str">
        <x:v>rain</x:v>
      </x:c>
      <x:c r="C36" s="26" t="n">
        <x:v>26</x:v>
      </x:c>
      <x:c r="D36" s="24" t="str">
        <x:v>Lot 04</x:v>
      </x:c>
      <x:c r="E36" s="25" t="str">
        <x:v>Nature</x:v>
      </x:c>
      <x:c r="F36" s="24" t="str">
        <x:f>IF(AND(G36=8,COUNTIF(Q36:V36,"Atlas")=6),"Intégré","À faire")</x:f>
        <x:v>Intégré</x:v>
      </x:c>
      <x:c r="G36" s="27" t="n">
        <x:f>COUNTIF(I36:P36,"Présent")</x:f>
        <x:v>8</x:v>
      </x:c>
      <x:c r="H36" s="24" t="str">
        <x:v>Disponible</x:v>
      </x:c>
      <x:c r="I36" s="24" t="str">
        <x:v>Présent</x:v>
      </x:c>
      <x:c r="J36" s="24" t="str">
        <x:v>Présent</x:v>
      </x:c>
      <x:c r="K36" s="24" t="str">
        <x:v>Présent</x:v>
      </x:c>
      <x:c r="L36" s="24" t="str">
        <x:v>Présent</x:v>
      </x:c>
      <x:c r="M36" s="24" t="str">
        <x:v>Présent</x:v>
      </x:c>
      <x:c r="N36" s="24" t="str">
        <x:v>Présent</x:v>
      </x:c>
      <x:c r="O36" s="24" t="str">
        <x:v>Présent</x:v>
      </x:c>
      <x:c r="P36" s="24" t="str">
        <x:v>Présent</x:v>
      </x:c>
      <x:c r="Q36" s="24" t="str">
        <x:v>Atlas</x:v>
      </x:c>
      <x:c r="R36" s="24" t="str">
        <x:v>Atlas</x:v>
      </x:c>
      <x:c r="S36" s="24" t="str">
        <x:v>Atlas</x:v>
      </x:c>
      <x:c r="T36" s="24" t="str">
        <x:v>Atlas</x:v>
      </x:c>
      <x:c r="U36" s="24" t="str">
        <x:v>Atlas</x:v>
      </x:c>
      <x:c r="V36" s="24" t="str">
        <x:v>Atlas</x:v>
      </x:c>
      <x:c r="W36" s="24" t="str">
        <x:v>6/6 actuelles</x:v>
      </x:c>
      <x:c r="X36" s="24" t="str">
        <x:v>6/6 actuelles</x:v>
      </x:c>
      <x:c r="Y36" s="24" t="str">
        <x:v>Périmée (0/6)</x:v>
      </x:c>
      <x:c r="Z36" s="24" t="str">
        <x:v>Périmée (0/6)</x:v>
      </x:c>
      <x:c r="AA36" s="23" t="str">
        <x:v>Validation navigateur passée. Publication exacte en attente de Thanh.</x:v>
      </x:c>
      <x:c r="AB36" s="21" t="str">
        <x:v>674f752f62b3179c8a21300c7796024f5935efc1</x:v>
      </x:c>
      <x:c r="AC36" s="21" t="str">
        <x:v>En cours</x:v>
      </x:c>
    </x:row>
    <x:row r="37" ht="40" customHeight="1">
      <x:c r="A37" s="22" t="str">
        <x:v>Tortue</x:v>
      </x:c>
      <x:c r="B37" s="22" t="str">
        <x:v>turtle</x:v>
      </x:c>
      <x:c r="C37" s="26" t="n">
        <x:v>27</x:v>
      </x:c>
      <x:c r="D37" s="24" t="str">
        <x:v>Lot 12 (master)</x:v>
      </x:c>
      <x:c r="E37" s="25" t="str">
        <x:v>Animaux</x:v>
      </x:c>
      <x:c r="F37" s="24" t="str">
        <x:f>IF(AND(G37=8,COUNTIF(Q37:V37,"Atlas")=6),"Intégré","À faire")</x:f>
        <x:v>Intégré</x:v>
      </x:c>
      <x:c r="G37" s="27" t="n">
        <x:f>COUNTIF(I37:P37,"Présent")</x:f>
        <x:v>8</x:v>
      </x:c>
      <x:c r="H37" s="24" t="str">
        <x:v>Archive Drive</x:v>
      </x:c>
      <x:c r="I37" s="24" t="str">
        <x:v>Présent</x:v>
      </x:c>
      <x:c r="J37" s="24" t="str">
        <x:v>Présent</x:v>
      </x:c>
      <x:c r="K37" s="24" t="str">
        <x:v>Présent</x:v>
      </x:c>
      <x:c r="L37" s="24" t="str">
        <x:v>Présent</x:v>
      </x:c>
      <x:c r="M37" s="24" t="str">
        <x:v>Présent</x:v>
      </x:c>
      <x:c r="N37" s="24" t="str">
        <x:v>Présent</x:v>
      </x:c>
      <x:c r="O37" s="24" t="str">
        <x:v>Présent</x:v>
      </x:c>
      <x:c r="P37" s="24" t="str">
        <x:v>Présent</x:v>
      </x:c>
      <x:c r="Q37" s="24" t="str">
        <x:v>Atlas</x:v>
      </x:c>
      <x:c r="R37" s="24" t="str">
        <x:v>Atlas</x:v>
      </x:c>
      <x:c r="S37" s="24" t="str">
        <x:v>Atlas</x:v>
      </x:c>
      <x:c r="T37" s="24" t="str">
        <x:v>Atlas</x:v>
      </x:c>
      <x:c r="U37" s="24" t="str">
        <x:v>Atlas</x:v>
      </x:c>
      <x:c r="V37" s="24" t="str">
        <x:v>Atlas</x:v>
      </x:c>
      <x:c r="W37" s="24" t="str">
        <x:v>6/6 actuelles</x:v>
      </x:c>
      <x:c r="X37" s="24" t="str">
        <x:v>6/6 actuelles</x:v>
      </x:c>
      <x:c r="Y37" s="24" t="str">
        <x:v>Non consignée</x:v>
      </x:c>
      <x:c r="Z37" s="24" t="str">
        <x:v>Périmée (0/6)</x:v>
      </x:c>
      <x:c r="AA37" s="23" t="str">
        <x:v>Validation navigateur passée. Publication exacte en attente de Thanh.</x:v>
      </x:c>
      <x:c r="AB37" s="21" t="str">
        <x:v>674f752f62b3179c8a21300c7796024f5935efc1</x:v>
      </x:c>
      <x:c r="AC37" s="21" t="str">
        <x:v>En cours</x:v>
      </x:c>
    </x:row>
    <x:row r="38" ht="40" customHeight="1">
      <x:c r="A38" s="22" t="str">
        <x:v>Vêtements</x:v>
      </x:c>
      <x:c r="B38" s="22" t="str">
        <x:v>clothes</x:v>
      </x:c>
      <x:c r="C38" s="26" t="n">
        <x:v>28</x:v>
      </x:c>
      <x:c r="D38" s="24" t="str">
        <x:v>Lot 08</x:v>
      </x:c>
      <x:c r="E38" s="25" t="str">
        <x:v>Objets</x:v>
      </x:c>
      <x:c r="F38" s="24" t="str">
        <x:f>IF(AND(G38=8,COUNTIF(Q38:V38,"Atlas")=6),"Intégré","À faire")</x:f>
        <x:v>Intégré</x:v>
      </x:c>
      <x:c r="G38" s="27" t="n">
        <x:f>COUNTIF(I38:P38,"Présent")</x:f>
        <x:v>8</x:v>
      </x:c>
      <x:c r="H38" s="24" t="str">
        <x:v>Archivé Drive</x:v>
      </x:c>
      <x:c r="I38" s="24" t="str">
        <x:v>Présent</x:v>
      </x:c>
      <x:c r="J38" s="24" t="str">
        <x:v>Présent</x:v>
      </x:c>
      <x:c r="K38" s="24" t="str">
        <x:v>Présent</x:v>
      </x:c>
      <x:c r="L38" s="24" t="str">
        <x:v>Présent</x:v>
      </x:c>
      <x:c r="M38" s="24" t="str">
        <x:v>Présent</x:v>
      </x:c>
      <x:c r="N38" s="24" t="str">
        <x:v>Présent</x:v>
      </x:c>
      <x:c r="O38" s="24" t="str">
        <x:v>Présent</x:v>
      </x:c>
      <x:c r="P38" s="24" t="str">
        <x:v>Présent</x:v>
      </x:c>
      <x:c r="Q38" s="24" t="str">
        <x:v>Atlas</x:v>
      </x:c>
      <x:c r="R38" s="24" t="str">
        <x:v>Atlas</x:v>
      </x:c>
      <x:c r="S38" s="24" t="str">
        <x:v>Atlas</x:v>
      </x:c>
      <x:c r="T38" s="24" t="str">
        <x:v>Atlas</x:v>
      </x:c>
      <x:c r="U38" s="24" t="str">
        <x:v>Atlas</x:v>
      </x:c>
      <x:c r="V38" s="24" t="str">
        <x:v>Atlas</x:v>
      </x:c>
      <x:c r="W38" s="24" t="str">
        <x:v>6/6 actuelles</x:v>
      </x:c>
      <x:c r="X38" s="24" t="str">
        <x:v>6/6 actuelles</x:v>
      </x:c>
      <x:c r="Y38" s="24" t="str">
        <x:v>Non consignée</x:v>
      </x:c>
      <x:c r="Z38" s="24" t="str">
        <x:v>Périmée (0/6)</x:v>
      </x:c>
      <x:c r="AA38" s="23" t="str">
        <x:v>Validation navigateur passée. Publication exacte en attente de Thanh.</x:v>
      </x:c>
      <x:c r="AB38" s="21" t="str">
        <x:v>674f752f62b3179c8a21300c7796024f5935efc1</x:v>
      </x:c>
      <x:c r="AC38" s="21" t="str">
        <x:v>En cours</x:v>
      </x:c>
    </x:row>
    <x:row r="39" ht="40" customHeight="1">
      <x:c r="A39" s="22" t="str">
        <x:v>Bébé</x:v>
      </x:c>
      <x:c r="B39" s="22" t="str">
        <x:v>baby</x:v>
      </x:c>
      <x:c r="C39" s="26" t="n">
        <x:v>29</x:v>
      </x:c>
      <x:c r="D39" s="24" t="str">
        <x:v>Lot 05</x:v>
      </x:c>
      <x:c r="E39" s="25" t="str">
        <x:v>Personnes</x:v>
      </x:c>
      <x:c r="F39" s="24" t="str">
        <x:f>IF(AND(G39=8,COUNTIF(Q39:V39,"Atlas")=6),"Intégré","À faire")</x:f>
        <x:v>Intégré</x:v>
      </x:c>
      <x:c r="G39" s="27" t="n">
        <x:f>COUNTIF(I39:P39,"Présent")</x:f>
        <x:v>8</x:v>
      </x:c>
      <x:c r="H39" s="24" t="str">
        <x:v>Disponible</x:v>
      </x:c>
      <x:c r="I39" s="24" t="str">
        <x:v>Présent</x:v>
      </x:c>
      <x:c r="J39" s="24" t="str">
        <x:v>Présent</x:v>
      </x:c>
      <x:c r="K39" s="24" t="str">
        <x:v>Présent</x:v>
      </x:c>
      <x:c r="L39" s="24" t="str">
        <x:v>Présent</x:v>
      </x:c>
      <x:c r="M39" s="24" t="str">
        <x:v>Présent</x:v>
      </x:c>
      <x:c r="N39" s="24" t="str">
        <x:v>Présent</x:v>
      </x:c>
      <x:c r="O39" s="24" t="str">
        <x:v>Présent</x:v>
      </x:c>
      <x:c r="P39" s="24" t="str">
        <x:v>Présent</x:v>
      </x:c>
      <x:c r="Q39" s="24" t="str">
        <x:v>Atlas</x:v>
      </x:c>
      <x:c r="R39" s="24" t="str">
        <x:v>Atlas</x:v>
      </x:c>
      <x:c r="S39" s="24" t="str">
        <x:v>Atlas</x:v>
      </x:c>
      <x:c r="T39" s="24" t="str">
        <x:v>Atlas</x:v>
      </x:c>
      <x:c r="U39" s="24" t="str">
        <x:v>Atlas</x:v>
      </x:c>
      <x:c r="V39" s="24" t="str">
        <x:v>Atlas</x:v>
      </x:c>
      <x:c r="W39" s="24" t="str">
        <x:v>6/6 actuelles</x:v>
      </x:c>
      <x:c r="X39" s="24" t="str">
        <x:v>6/6 actuelles</x:v>
      </x:c>
      <x:c r="Y39" s="24" t="str">
        <x:v>Périmée (0/6)</x:v>
      </x:c>
      <x:c r="Z39" s="24" t="str">
        <x:v>Périmée (0/6)</x:v>
      </x:c>
      <x:c r="AA39" s="23" t="str">
        <x:v>Validation navigateur passée. Publication exacte en attente de Thanh.</x:v>
      </x:c>
      <x:c r="AB39" s="21" t="str">
        <x:v>674f752f62b3179c8a21300c7796024f5935efc1</x:v>
      </x:c>
      <x:c r="AC39" s="21" t="str">
        <x:v>En cours</x:v>
      </x:c>
    </x:row>
    <x:row r="40" ht="40" customHeight="1">
      <x:c r="A40" s="22" t="str">
        <x:v>Château</x:v>
      </x:c>
      <x:c r="B40" s="22" t="str">
        <x:v>castle</x:v>
      </x:c>
      <x:c r="C40" s="26" t="n">
        <x:v>30</x:v>
      </x:c>
      <x:c r="D40" s="24" t="str">
        <x:v>Lot 05</x:v>
      </x:c>
      <x:c r="E40" s="25" t="str">
        <x:v>Lieux</x:v>
      </x:c>
      <x:c r="F40" s="24" t="str">
        <x:f>IF(AND(G40=8,COUNTIF(Q40:V40,"Atlas")=6),"Intégré","À faire")</x:f>
        <x:v>Intégré</x:v>
      </x:c>
      <x:c r="G40" s="27" t="n">
        <x:f>COUNTIF(I40:P40,"Présent")</x:f>
        <x:v>8</x:v>
      </x:c>
      <x:c r="H40" s="24" t="str">
        <x:v>Disponible</x:v>
      </x:c>
      <x:c r="I40" s="24" t="str">
        <x:v>Présent</x:v>
      </x:c>
      <x:c r="J40" s="24" t="str">
        <x:v>Présent</x:v>
      </x:c>
      <x:c r="K40" s="24" t="str">
        <x:v>Présent</x:v>
      </x:c>
      <x:c r="L40" s="24" t="str">
        <x:v>Présent</x:v>
      </x:c>
      <x:c r="M40" s="24" t="str">
        <x:v>Présent</x:v>
      </x:c>
      <x:c r="N40" s="24" t="str">
        <x:v>Présent</x:v>
      </x:c>
      <x:c r="O40" s="24" t="str">
        <x:v>Présent</x:v>
      </x:c>
      <x:c r="P40" s="24" t="str">
        <x:v>Présent</x:v>
      </x:c>
      <x:c r="Q40" s="24" t="str">
        <x:v>Atlas</x:v>
      </x:c>
      <x:c r="R40" s="24" t="str">
        <x:v>Atlas</x:v>
      </x:c>
      <x:c r="S40" s="24" t="str">
        <x:v>Atlas</x:v>
      </x:c>
      <x:c r="T40" s="24" t="str">
        <x:v>Atlas</x:v>
      </x:c>
      <x:c r="U40" s="24" t="str">
        <x:v>Atlas</x:v>
      </x:c>
      <x:c r="V40" s="24" t="str">
        <x:v>Atlas</x:v>
      </x:c>
      <x:c r="W40" s="24" t="str">
        <x:v>6/6 actuelles</x:v>
      </x:c>
      <x:c r="X40" s="24" t="str">
        <x:v>6/6 actuelles</x:v>
      </x:c>
      <x:c r="Y40" s="24" t="str">
        <x:v>Périmée (0/6)</x:v>
      </x:c>
      <x:c r="Z40" s="24" t="str">
        <x:v>Périmée (0/6)</x:v>
      </x:c>
      <x:c r="AA40" s="23" t="str">
        <x:v>Validation navigateur passée. Publication exacte en attente de Thanh.</x:v>
      </x:c>
      <x:c r="AB40" s="21" t="str">
        <x:v>674f752f62b3179c8a21300c7796024f5935efc1</x:v>
      </x:c>
      <x:c r="AC40" s="21" t="str">
        <x:v>En cours</x:v>
      </x:c>
    </x:row>
    <x:row r="41" ht="40" customHeight="1">
      <x:c r="A41" s="22" t="str">
        <x:v>Cheval</x:v>
      </x:c>
      <x:c r="B41" s="22" t="str">
        <x:v>horse</x:v>
      </x:c>
      <x:c r="C41" s="26" t="n">
        <x:v>31</x:v>
      </x:c>
      <x:c r="D41" s="24" t="str">
        <x:v>Lot 05</x:v>
      </x:c>
      <x:c r="E41" s="25" t="str">
        <x:v>Animaux</x:v>
      </x:c>
      <x:c r="F41" s="24" t="str">
        <x:f>IF(AND(G41=8,COUNTIF(Q41:V41,"Atlas")=6),"Intégré","À faire")</x:f>
        <x:v>Intégré</x:v>
      </x:c>
      <x:c r="G41" s="27" t="n">
        <x:f>COUNTIF(I41:P41,"Présent")</x:f>
        <x:v>8</x:v>
      </x:c>
      <x:c r="H41" s="24" t="str">
        <x:v>Disponible</x:v>
      </x:c>
      <x:c r="I41" s="24" t="str">
        <x:v>Présent</x:v>
      </x:c>
      <x:c r="J41" s="24" t="str">
        <x:v>Présent</x:v>
      </x:c>
      <x:c r="K41" s="24" t="str">
        <x:v>Présent</x:v>
      </x:c>
      <x:c r="L41" s="24" t="str">
        <x:v>Présent</x:v>
      </x:c>
      <x:c r="M41" s="24" t="str">
        <x:v>Présent</x:v>
      </x:c>
      <x:c r="N41" s="24" t="str">
        <x:v>Présent</x:v>
      </x:c>
      <x:c r="O41" s="24" t="str">
        <x:v>Présent</x:v>
      </x:c>
      <x:c r="P41" s="24" t="str">
        <x:v>Présent</x:v>
      </x:c>
      <x:c r="Q41" s="24" t="str">
        <x:v>Atlas</x:v>
      </x:c>
      <x:c r="R41" s="24" t="str">
        <x:v>Atlas</x:v>
      </x:c>
      <x:c r="S41" s="24" t="str">
        <x:v>Atlas</x:v>
      </x:c>
      <x:c r="T41" s="24" t="str">
        <x:v>Atlas</x:v>
      </x:c>
      <x:c r="U41" s="24" t="str">
        <x:v>Atlas</x:v>
      </x:c>
      <x:c r="V41" s="24" t="str">
        <x:v>Atlas</x:v>
      </x:c>
      <x:c r="W41" s="24" t="str">
        <x:v>6/6 actuelles</x:v>
      </x:c>
      <x:c r="X41" s="24" t="str">
        <x:v>6/6 actuelles</x:v>
      </x:c>
      <x:c r="Y41" s="24" t="str">
        <x:v>Périmée (0/6)</x:v>
      </x:c>
      <x:c r="Z41" s="24" t="str">
        <x:v>Périmée (0/6)</x:v>
      </x:c>
      <x:c r="AA41" s="23" t="str">
        <x:v>Validation navigateur passée. Publication exacte en attente de Thanh.</x:v>
      </x:c>
      <x:c r="AB41" s="21" t="str">
        <x:v>674f752f62b3179c8a21300c7796024f5935efc1</x:v>
      </x:c>
      <x:c r="AC41" s="21" t="str">
        <x:v>En cours</x:v>
      </x:c>
    </x:row>
    <x:row r="42" ht="40" customHeight="1">
      <x:c r="A42" s="22" t="str">
        <x:v>Étoiles</x:v>
      </x:c>
      <x:c r="B42" s="22" t="str">
        <x:v>stars</x:v>
      </x:c>
      <x:c r="C42" s="26" t="n">
        <x:v>32</x:v>
      </x:c>
      <x:c r="D42" s="24" t="str">
        <x:v>Lot 05</x:v>
      </x:c>
      <x:c r="E42" s="25" t="str">
        <x:v>Ciel</x:v>
      </x:c>
      <x:c r="F42" s="24" t="str">
        <x:f>IF(AND(G42=8,COUNTIF(Q42:V42,"Atlas")=6),"Intégré","À faire")</x:f>
        <x:v>Intégré</x:v>
      </x:c>
      <x:c r="G42" s="27" t="n">
        <x:f>COUNTIF(I42:P42,"Présent")</x:f>
        <x:v>8</x:v>
      </x:c>
      <x:c r="H42" s="24" t="str">
        <x:v>Disponible</x:v>
      </x:c>
      <x:c r="I42" s="24" t="str">
        <x:v>Présent</x:v>
      </x:c>
      <x:c r="J42" s="24" t="str">
        <x:v>Présent</x:v>
      </x:c>
      <x:c r="K42" s="24" t="str">
        <x:v>Présent</x:v>
      </x:c>
      <x:c r="L42" s="24" t="str">
        <x:v>Présent</x:v>
      </x:c>
      <x:c r="M42" s="24" t="str">
        <x:v>Présent</x:v>
      </x:c>
      <x:c r="N42" s="24" t="str">
        <x:v>Présent</x:v>
      </x:c>
      <x:c r="O42" s="24" t="str">
        <x:v>Présent</x:v>
      </x:c>
      <x:c r="P42" s="24" t="str">
        <x:v>Présent</x:v>
      </x:c>
      <x:c r="Q42" s="24" t="str">
        <x:v>Atlas</x:v>
      </x:c>
      <x:c r="R42" s="24" t="str">
        <x:v>Atlas</x:v>
      </x:c>
      <x:c r="S42" s="24" t="str">
        <x:v>Atlas</x:v>
      </x:c>
      <x:c r="T42" s="24" t="str">
        <x:v>Atlas</x:v>
      </x:c>
      <x:c r="U42" s="24" t="str">
        <x:v>Atlas</x:v>
      </x:c>
      <x:c r="V42" s="24" t="str">
        <x:v>Atlas</x:v>
      </x:c>
      <x:c r="W42" s="24" t="str">
        <x:v>6/6 actuelles</x:v>
      </x:c>
      <x:c r="X42" s="24" t="str">
        <x:v>6/6 actuelles</x:v>
      </x:c>
      <x:c r="Y42" s="24" t="str">
        <x:v>Périmée (0/6)</x:v>
      </x:c>
      <x:c r="Z42" s="24" t="str">
        <x:v>Périmée (0/6)</x:v>
      </x:c>
      <x:c r="AA42" s="23" t="str">
        <x:v>Validation navigateur passée. Publication exacte en attente de Thanh.</x:v>
      </x:c>
      <x:c r="AB42" s="21" t="str">
        <x:v>674f752f62b3179c8a21300c7796024f5935efc1</x:v>
      </x:c>
      <x:c r="AC42" s="21" t="str">
        <x:v>En cours</x:v>
      </x:c>
    </x:row>
    <x:row r="43" ht="40" customHeight="1">
      <x:c r="A43" s="22" t="str">
        <x:v>Fleurs</x:v>
      </x:c>
      <x:c r="B43" s="22" t="str">
        <x:v>flowers</x:v>
      </x:c>
      <x:c r="C43" s="26" t="n">
        <x:v>33</x:v>
      </x:c>
      <x:c r="D43" s="24" t="str">
        <x:v>Lot 05</x:v>
      </x:c>
      <x:c r="E43" s="25" t="str">
        <x:v>Nature</x:v>
      </x:c>
      <x:c r="F43" s="24" t="str">
        <x:f>IF(AND(G43=8,COUNTIF(Q43:V43,"Atlas")=6),"Intégré","À faire")</x:f>
        <x:v>Intégré</x:v>
      </x:c>
      <x:c r="G43" s="27" t="n">
        <x:f>COUNTIF(I43:P43,"Présent")</x:f>
        <x:v>8</x:v>
      </x:c>
      <x:c r="H43" s="24" t="str">
        <x:v>Disponible</x:v>
      </x:c>
      <x:c r="I43" s="24" t="str">
        <x:v>Présent</x:v>
      </x:c>
      <x:c r="J43" s="24" t="str">
        <x:v>Présent</x:v>
      </x:c>
      <x:c r="K43" s="24" t="str">
        <x:v>Présent</x:v>
      </x:c>
      <x:c r="L43" s="24" t="str">
        <x:v>Présent</x:v>
      </x:c>
      <x:c r="M43" s="24" t="str">
        <x:v>Présent</x:v>
      </x:c>
      <x:c r="N43" s="24" t="str">
        <x:v>Présent</x:v>
      </x:c>
      <x:c r="O43" s="24" t="str">
        <x:v>Présent</x:v>
      </x:c>
      <x:c r="P43" s="24" t="str">
        <x:v>Présent</x:v>
      </x:c>
      <x:c r="Q43" s="24" t="str">
        <x:v>Atlas</x:v>
      </x:c>
      <x:c r="R43" s="24" t="str">
        <x:v>Atlas</x:v>
      </x:c>
      <x:c r="S43" s="24" t="str">
        <x:v>Atlas</x:v>
      </x:c>
      <x:c r="T43" s="24" t="str">
        <x:v>Atlas</x:v>
      </x:c>
      <x:c r="U43" s="24" t="str">
        <x:v>Atlas</x:v>
      </x:c>
      <x:c r="V43" s="24" t="str">
        <x:v>Atlas</x:v>
      </x:c>
      <x:c r="W43" s="24" t="str">
        <x:v>6/6 actuelles</x:v>
      </x:c>
      <x:c r="X43" s="24" t="str">
        <x:v>6/6 actuelles</x:v>
      </x:c>
      <x:c r="Y43" s="24" t="str">
        <x:v>Périmée (0/6)</x:v>
      </x:c>
      <x:c r="Z43" s="24" t="str">
        <x:v>Périmée (0/6)</x:v>
      </x:c>
      <x:c r="AA43" s="23" t="str">
        <x:v>Validation navigateur passée. Publication exacte en attente de Thanh.</x:v>
      </x:c>
      <x:c r="AB43" s="21" t="str">
        <x:v>674f752f62b3179c8a21300c7796024f5935efc1</x:v>
      </x:c>
      <x:c r="AC43" s="21" t="str">
        <x:v>En cours</x:v>
      </x:c>
    </x:row>
    <x:row r="44" ht="40" customHeight="1">
      <x:c r="A44" s="22" t="str">
        <x:v>Orage</x:v>
      </x:c>
      <x:c r="B44" s="22" t="str">
        <x:v>storm</x:v>
      </x:c>
      <x:c r="C44" s="26" t="n">
        <x:v>34</x:v>
      </x:c>
      <x:c r="D44" s="24" t="str">
        <x:v>Lot 05</x:v>
      </x:c>
      <x:c r="E44" s="25" t="str">
        <x:v>Nature</x:v>
      </x:c>
      <x:c r="F44" s="24" t="str">
        <x:f>IF(AND(G44=8,COUNTIF(Q44:V44,"Atlas")=6),"Intégré","À faire")</x:f>
        <x:v>Intégré</x:v>
      </x:c>
      <x:c r="G44" s="27" t="n">
        <x:f>COUNTIF(I44:P44,"Présent")</x:f>
        <x:v>8</x:v>
      </x:c>
      <x:c r="H44" s="24" t="str">
        <x:v>Disponible</x:v>
      </x:c>
      <x:c r="I44" s="24" t="str">
        <x:v>Présent</x:v>
      </x:c>
      <x:c r="J44" s="24" t="str">
        <x:v>Présent</x:v>
      </x:c>
      <x:c r="K44" s="24" t="str">
        <x:v>Présent</x:v>
      </x:c>
      <x:c r="L44" s="24" t="str">
        <x:v>Présent</x:v>
      </x:c>
      <x:c r="M44" s="24" t="str">
        <x:v>Présent</x:v>
      </x:c>
      <x:c r="N44" s="24" t="str">
        <x:v>Présent</x:v>
      </x:c>
      <x:c r="O44" s="24" t="str">
        <x:v>Présent</x:v>
      </x:c>
      <x:c r="P44" s="24" t="str">
        <x:v>Présent</x:v>
      </x:c>
      <x:c r="Q44" s="24" t="str">
        <x:v>Atlas</x:v>
      </x:c>
      <x:c r="R44" s="24" t="str">
        <x:v>Atlas</x:v>
      </x:c>
      <x:c r="S44" s="24" t="str">
        <x:v>Atlas</x:v>
      </x:c>
      <x:c r="T44" s="24" t="str">
        <x:v>Atlas</x:v>
      </x:c>
      <x:c r="U44" s="24" t="str">
        <x:v>Atlas</x:v>
      </x:c>
      <x:c r="V44" s="24" t="str">
        <x:v>Atlas</x:v>
      </x:c>
      <x:c r="W44" s="24" t="str">
        <x:v>6/6 actuelles</x:v>
      </x:c>
      <x:c r="X44" s="24" t="str">
        <x:v>6/6 actuelles</x:v>
      </x:c>
      <x:c r="Y44" s="24" t="str">
        <x:v>Périmée (0/6)</x:v>
      </x:c>
      <x:c r="Z44" s="24" t="str">
        <x:v>Périmée (0/6)</x:v>
      </x:c>
      <x:c r="AA44" s="23" t="str">
        <x:v>Validation navigateur passée. Publication exacte en attente de Thanh.</x:v>
      </x:c>
      <x:c r="AB44" s="21" t="str">
        <x:v>674f752f62b3179c8a21300c7796024f5935efc1</x:v>
      </x:c>
      <x:c r="AC44" s="21" t="str">
        <x:v>En cours</x:v>
      </x:c>
    </x:row>
    <x:row r="45" ht="40" customHeight="1">
      <x:c r="A45" s="22" t="str">
        <x:v>Ascenseur</x:v>
      </x:c>
      <x:c r="B45" s="22" t="str">
        <x:v>elevator</x:v>
      </x:c>
      <x:c r="C45" s="26" t="n">
        <x:v>35</x:v>
      </x:c>
      <x:c r="D45" s="24" t="str">
        <x:v>Lot 06</x:v>
      </x:c>
      <x:c r="E45" s="25" t="str">
        <x:v>Lieux</x:v>
      </x:c>
      <x:c r="F45" s="24" t="str">
        <x:f>IF(AND(G45=8,COUNTIF(Q45:V45,"Atlas")=6),"Intégré","À faire")</x:f>
        <x:v>Intégré</x:v>
      </x:c>
      <x:c r="G45" s="27" t="n">
        <x:f>COUNTIF(I45:P45,"Présent")</x:f>
        <x:v>8</x:v>
      </x:c>
      <x:c r="H45" s="24" t="str">
        <x:v>Disponible</x:v>
      </x:c>
      <x:c r="I45" s="24" t="str">
        <x:v>Présent</x:v>
      </x:c>
      <x:c r="J45" s="24" t="str">
        <x:v>Présent</x:v>
      </x:c>
      <x:c r="K45" s="24" t="str">
        <x:v>Présent</x:v>
      </x:c>
      <x:c r="L45" s="24" t="str">
        <x:v>Présent</x:v>
      </x:c>
      <x:c r="M45" s="24" t="str">
        <x:v>Présent</x:v>
      </x:c>
      <x:c r="N45" s="24" t="str">
        <x:v>Présent</x:v>
      </x:c>
      <x:c r="O45" s="24" t="str">
        <x:v>Présent</x:v>
      </x:c>
      <x:c r="P45" s="24" t="str">
        <x:v>Présent</x:v>
      </x:c>
      <x:c r="Q45" s="24" t="str">
        <x:v>Atlas</x:v>
      </x:c>
      <x:c r="R45" s="24" t="str">
        <x:v>Atlas</x:v>
      </x:c>
      <x:c r="S45" s="24" t="str">
        <x:v>Atlas</x:v>
      </x:c>
      <x:c r="T45" s="24" t="str">
        <x:v>Atlas</x:v>
      </x:c>
      <x:c r="U45" s="24" t="str">
        <x:v>Atlas</x:v>
      </x:c>
      <x:c r="V45" s="24" t="str">
        <x:v>Atlas</x:v>
      </x:c>
      <x:c r="W45" s="24" t="str">
        <x:v>6/6 actuelles</x:v>
      </x:c>
      <x:c r="X45" s="24" t="str">
        <x:v>6/6 actuelles</x:v>
      </x:c>
      <x:c r="Y45" s="24" t="str">
        <x:v>Périmée (0/6)</x:v>
      </x:c>
      <x:c r="Z45" s="24" t="str">
        <x:v>Périmée (0/6)</x:v>
      </x:c>
      <x:c r="AA45" s="23" t="str">
        <x:v>Validation navigateur passée. Publication exacte en attente de Thanh.</x:v>
      </x:c>
      <x:c r="AB45" s="21" t="str">
        <x:v>674f752f62b3179c8a21300c7796024f5935efc1</x:v>
      </x:c>
      <x:c r="AC45" s="21" t="str">
        <x:v>En cours</x:v>
      </x:c>
    </x:row>
    <x:row r="46" ht="40" customHeight="1">
      <x:c r="A46" s="22" t="str">
        <x:v>Bougie</x:v>
      </x:c>
      <x:c r="B46" s="22" t="str">
        <x:v>candle</x:v>
      </x:c>
      <x:c r="C46" s="26" t="n">
        <x:v>36</x:v>
      </x:c>
      <x:c r="D46" s="24" t="str">
        <x:v>Lot 06</x:v>
      </x:c>
      <x:c r="E46" s="25" t="str">
        <x:v>Objets</x:v>
      </x:c>
      <x:c r="F46" s="24" t="str">
        <x:f>IF(AND(G46=8,COUNTIF(Q46:V46,"Atlas")=6),"Intégré","À faire")</x:f>
        <x:v>Intégré</x:v>
      </x:c>
      <x:c r="G46" s="27" t="n">
        <x:f>COUNTIF(I46:P46,"Présent")</x:f>
        <x:v>8</x:v>
      </x:c>
      <x:c r="H46" s="24" t="str">
        <x:v>Disponible</x:v>
      </x:c>
      <x:c r="I46" s="24" t="str">
        <x:v>Présent</x:v>
      </x:c>
      <x:c r="J46" s="24" t="str">
        <x:v>Présent</x:v>
      </x:c>
      <x:c r="K46" s="24" t="str">
        <x:v>Présent</x:v>
      </x:c>
      <x:c r="L46" s="24" t="str">
        <x:v>Présent</x:v>
      </x:c>
      <x:c r="M46" s="24" t="str">
        <x:v>Présent</x:v>
      </x:c>
      <x:c r="N46" s="24" t="str">
        <x:v>Présent</x:v>
      </x:c>
      <x:c r="O46" s="24" t="str">
        <x:v>Présent</x:v>
      </x:c>
      <x:c r="P46" s="24" t="str">
        <x:v>Présent</x:v>
      </x:c>
      <x:c r="Q46" s="24" t="str">
        <x:v>Atlas</x:v>
      </x:c>
      <x:c r="R46" s="24" t="str">
        <x:v>Atlas</x:v>
      </x:c>
      <x:c r="S46" s="24" t="str">
        <x:v>Atlas</x:v>
      </x:c>
      <x:c r="T46" s="24" t="str">
        <x:v>Atlas</x:v>
      </x:c>
      <x:c r="U46" s="24" t="str">
        <x:v>Atlas</x:v>
      </x:c>
      <x:c r="V46" s="24" t="str">
        <x:v>Atlas</x:v>
      </x:c>
      <x:c r="W46" s="24" t="str">
        <x:v>6/6 actuelles</x:v>
      </x:c>
      <x:c r="X46" s="24" t="str">
        <x:v>6/6 actuelles</x:v>
      </x:c>
      <x:c r="Y46" s="24" t="str">
        <x:v>Périmée (0/6)</x:v>
      </x:c>
      <x:c r="Z46" s="24" t="str">
        <x:v>Périmée (0/6)</x:v>
      </x:c>
      <x:c r="AA46" s="23" t="str">
        <x:v>Validation navigateur passée. Publication exacte en attente de Thanh.</x:v>
      </x:c>
      <x:c r="AB46" s="21" t="str">
        <x:v>674f752f62b3179c8a21300c7796024f5935efc1</x:v>
      </x:c>
      <x:c r="AC46" s="21" t="str">
        <x:v>En cours</x:v>
      </x:c>
    </x:row>
    <x:row r="47" ht="40" customHeight="1">
      <x:c r="A47" s="22" t="str">
        <x:v>Désert</x:v>
      </x:c>
      <x:c r="B47" s="22" t="str">
        <x:v>desert</x:v>
      </x:c>
      <x:c r="C47" s="26" t="n">
        <x:v>37</x:v>
      </x:c>
      <x:c r="D47" s="24" t="str">
        <x:v>Lot 06</x:v>
      </x:c>
      <x:c r="E47" s="25" t="str">
        <x:v>Lieux</x:v>
      </x:c>
      <x:c r="F47" s="24" t="str">
        <x:f>IF(AND(G47=8,COUNTIF(Q47:V47,"Atlas")=6),"Intégré","À faire")</x:f>
        <x:v>Intégré</x:v>
      </x:c>
      <x:c r="G47" s="27" t="n">
        <x:f>COUNTIF(I47:P47,"Présent")</x:f>
        <x:v>8</x:v>
      </x:c>
      <x:c r="H47" s="24" t="str">
        <x:v>Disponible</x:v>
      </x:c>
      <x:c r="I47" s="24" t="str">
        <x:v>Présent</x:v>
      </x:c>
      <x:c r="J47" s="24" t="str">
        <x:v>Présent</x:v>
      </x:c>
      <x:c r="K47" s="24" t="str">
        <x:v>Présent</x:v>
      </x:c>
      <x:c r="L47" s="24" t="str">
        <x:v>Présent</x:v>
      </x:c>
      <x:c r="M47" s="24" t="str">
        <x:v>Présent</x:v>
      </x:c>
      <x:c r="N47" s="24" t="str">
        <x:v>Présent</x:v>
      </x:c>
      <x:c r="O47" s="24" t="str">
        <x:v>Présent</x:v>
      </x:c>
      <x:c r="P47" s="24" t="str">
        <x:v>Présent</x:v>
      </x:c>
      <x:c r="Q47" s="24" t="str">
        <x:v>Atlas</x:v>
      </x:c>
      <x:c r="R47" s="24" t="str">
        <x:v>Atlas</x:v>
      </x:c>
      <x:c r="S47" s="24" t="str">
        <x:v>Atlas</x:v>
      </x:c>
      <x:c r="T47" s="24" t="str">
        <x:v>Atlas</x:v>
      </x:c>
      <x:c r="U47" s="24" t="str">
        <x:v>Atlas</x:v>
      </x:c>
      <x:c r="V47" s="24" t="str">
        <x:v>Atlas</x:v>
      </x:c>
      <x:c r="W47" s="24" t="str">
        <x:v>6/6 actuelles</x:v>
      </x:c>
      <x:c r="X47" s="24" t="str">
        <x:v>6/6 actuelles</x:v>
      </x:c>
      <x:c r="Y47" s="24" t="str">
        <x:v>Périmée (0/6)</x:v>
      </x:c>
      <x:c r="Z47" s="24" t="str">
        <x:v>Périmée (0/6)</x:v>
      </x:c>
      <x:c r="AA47" s="23" t="str">
        <x:v>Validation navigateur passée. Publication exacte en attente de Thanh.</x:v>
      </x:c>
      <x:c r="AB47" s="21" t="str">
        <x:v>674f752f62b3179c8a21300c7796024f5935efc1</x:v>
      </x:c>
      <x:c r="AC47" s="21" t="str">
        <x:v>En cours</x:v>
      </x:c>
    </x:row>
    <x:row r="48" ht="40" customHeight="1">
      <x:c r="A48" s="22" t="str">
        <x:v>Livre</x:v>
      </x:c>
      <x:c r="B48" s="22" t="str">
        <x:v>book</x:v>
      </x:c>
      <x:c r="C48" s="26" t="n">
        <x:v>38</x:v>
      </x:c>
      <x:c r="D48" s="24" t="str">
        <x:v>Lot 06</x:v>
      </x:c>
      <x:c r="E48" s="25" t="str">
        <x:v>Objets</x:v>
      </x:c>
      <x:c r="F48" s="24" t="str">
        <x:f>IF(AND(G48=8,COUNTIF(Q48:V48,"Atlas")=6),"Intégré","À faire")</x:f>
        <x:v>Intégré</x:v>
      </x:c>
      <x:c r="G48" s="27" t="n">
        <x:f>COUNTIF(I48:P48,"Présent")</x:f>
        <x:v>8</x:v>
      </x:c>
      <x:c r="H48" s="24" t="str">
        <x:v>Disponible</x:v>
      </x:c>
      <x:c r="I48" s="24" t="str">
        <x:v>Présent</x:v>
      </x:c>
      <x:c r="J48" s="24" t="str">
        <x:v>Présent</x:v>
      </x:c>
      <x:c r="K48" s="24" t="str">
        <x:v>Présent</x:v>
      </x:c>
      <x:c r="L48" s="24" t="str">
        <x:v>Présent</x:v>
      </x:c>
      <x:c r="M48" s="24" t="str">
        <x:v>Présent</x:v>
      </x:c>
      <x:c r="N48" s="24" t="str">
        <x:v>Présent</x:v>
      </x:c>
      <x:c r="O48" s="24" t="str">
        <x:v>Présent</x:v>
      </x:c>
      <x:c r="P48" s="24" t="str">
        <x:v>Présent</x:v>
      </x:c>
      <x:c r="Q48" s="24" t="str">
        <x:v>Atlas</x:v>
      </x:c>
      <x:c r="R48" s="24" t="str">
        <x:v>Atlas</x:v>
      </x:c>
      <x:c r="S48" s="24" t="str">
        <x:v>Atlas</x:v>
      </x:c>
      <x:c r="T48" s="24" t="str">
        <x:v>Atlas</x:v>
      </x:c>
      <x:c r="U48" s="24" t="str">
        <x:v>Atlas</x:v>
      </x:c>
      <x:c r="V48" s="24" t="str">
        <x:v>Atlas</x:v>
      </x:c>
      <x:c r="W48" s="24" t="str">
        <x:v>6/6 actuelles</x:v>
      </x:c>
      <x:c r="X48" s="24" t="str">
        <x:v>6/6 actuelles</x:v>
      </x:c>
      <x:c r="Y48" s="24" t="str">
        <x:v>Périmée (0/6)</x:v>
      </x:c>
      <x:c r="Z48" s="24" t="str">
        <x:v>Périmée (0/6)</x:v>
      </x:c>
      <x:c r="AA48" s="23" t="str">
        <x:v>Validation navigateur passée. Publication exacte en attente de Thanh.</x:v>
      </x:c>
      <x:c r="AB48" s="21" t="str">
        <x:v>674f752f62b3179c8a21300c7796024f5935efc1</x:v>
      </x:c>
      <x:c r="AC48" s="21" t="str">
        <x:v>En cours</x:v>
      </x:c>
    </x:row>
    <x:row r="49" ht="40" customHeight="1">
      <x:c r="A49" s="22" t="str">
        <x:v>Loup</x:v>
      </x:c>
      <x:c r="B49" s="22" t="str">
        <x:v>wolf</x:v>
      </x:c>
      <x:c r="C49" s="26" t="n">
        <x:v>39</x:v>
      </x:c>
      <x:c r="D49" s="24" t="str">
        <x:v>Lot 06</x:v>
      </x:c>
      <x:c r="E49" s="25" t="str">
        <x:v>Animaux</x:v>
      </x:c>
      <x:c r="F49" s="24" t="str">
        <x:f>IF(AND(G49=8,COUNTIF(Q49:V49,"Atlas")=6),"Intégré","À faire")</x:f>
        <x:v>Intégré</x:v>
      </x:c>
      <x:c r="G49" s="27" t="n">
        <x:f>COUNTIF(I49:P49,"Présent")</x:f>
        <x:v>8</x:v>
      </x:c>
      <x:c r="H49" s="24" t="str">
        <x:v>Disponible</x:v>
      </x:c>
      <x:c r="I49" s="24" t="str">
        <x:v>Présent</x:v>
      </x:c>
      <x:c r="J49" s="24" t="str">
        <x:v>Présent</x:v>
      </x:c>
      <x:c r="K49" s="24" t="str">
        <x:v>Présent</x:v>
      </x:c>
      <x:c r="L49" s="24" t="str">
        <x:v>Présent</x:v>
      </x:c>
      <x:c r="M49" s="24" t="str">
        <x:v>Présent</x:v>
      </x:c>
      <x:c r="N49" s="24" t="str">
        <x:v>Présent</x:v>
      </x:c>
      <x:c r="O49" s="24" t="str">
        <x:v>Présent</x:v>
      </x:c>
      <x:c r="P49" s="24" t="str">
        <x:v>Présent</x:v>
      </x:c>
      <x:c r="Q49" s="24" t="str">
        <x:v>Atlas</x:v>
      </x:c>
      <x:c r="R49" s="24" t="str">
        <x:v>Atlas</x:v>
      </x:c>
      <x:c r="S49" s="24" t="str">
        <x:v>Atlas</x:v>
      </x:c>
      <x:c r="T49" s="24" t="str">
        <x:v>Atlas</x:v>
      </x:c>
      <x:c r="U49" s="24" t="str">
        <x:v>Atlas</x:v>
      </x:c>
      <x:c r="V49" s="24" t="str">
        <x:v>Atlas</x:v>
      </x:c>
      <x:c r="W49" s="24" t="str">
        <x:v>6/6 actuelles</x:v>
      </x:c>
      <x:c r="X49" s="24" t="str">
        <x:v>6/6 actuelles</x:v>
      </x:c>
      <x:c r="Y49" s="24" t="str">
        <x:v>Périmée (0/6)</x:v>
      </x:c>
      <x:c r="Z49" s="24" t="str">
        <x:v>Périmée (0/6)</x:v>
      </x:c>
      <x:c r="AA49" s="23" t="str">
        <x:v>Validation navigateur passée. Publication exacte en attente de Thanh.</x:v>
      </x:c>
      <x:c r="AB49" s="21" t="str">
        <x:v>674f752f62b3179c8a21300c7796024f5935efc1</x:v>
      </x:c>
      <x:c r="AC49" s="21" t="str">
        <x:v>En cours</x:v>
      </x:c>
    </x:row>
    <x:row r="50" ht="40" customHeight="1">
      <x:c r="A50" s="22" t="str">
        <x:v>Neige</x:v>
      </x:c>
      <x:c r="B50" s="22" t="str">
        <x:v>snow</x:v>
      </x:c>
      <x:c r="C50" s="26" t="n">
        <x:v>40</x:v>
      </x:c>
      <x:c r="D50" s="24" t="str">
        <x:v>Lot 06</x:v>
      </x:c>
      <x:c r="E50" s="25" t="str">
        <x:v>Nature</x:v>
      </x:c>
      <x:c r="F50" s="24" t="str">
        <x:f>IF(AND(G50=8,COUNTIF(Q50:V50,"Atlas")=6),"Intégré","À faire")</x:f>
        <x:v>Intégré</x:v>
      </x:c>
      <x:c r="G50" s="27" t="n">
        <x:f>COUNTIF(I50:P50,"Présent")</x:f>
        <x:v>8</x:v>
      </x:c>
      <x:c r="H50" s="24" t="str">
        <x:v>Disponible</x:v>
      </x:c>
      <x:c r="I50" s="24" t="str">
        <x:v>Présent</x:v>
      </x:c>
      <x:c r="J50" s="24" t="str">
        <x:v>Présent</x:v>
      </x:c>
      <x:c r="K50" s="24" t="str">
        <x:v>Présent</x:v>
      </x:c>
      <x:c r="L50" s="24" t="str">
        <x:v>Présent</x:v>
      </x:c>
      <x:c r="M50" s="24" t="str">
        <x:v>Présent</x:v>
      </x:c>
      <x:c r="N50" s="24" t="str">
        <x:v>Présent</x:v>
      </x:c>
      <x:c r="O50" s="24" t="str">
        <x:v>Présent</x:v>
      </x:c>
      <x:c r="P50" s="24" t="str">
        <x:v>Présent</x:v>
      </x:c>
      <x:c r="Q50" s="24" t="str">
        <x:v>Atlas</x:v>
      </x:c>
      <x:c r="R50" s="24" t="str">
        <x:v>Atlas</x:v>
      </x:c>
      <x:c r="S50" s="24" t="str">
        <x:v>Atlas</x:v>
      </x:c>
      <x:c r="T50" s="24" t="str">
        <x:v>Atlas</x:v>
      </x:c>
      <x:c r="U50" s="24" t="str">
        <x:v>Atlas</x:v>
      </x:c>
      <x:c r="V50" s="24" t="str">
        <x:v>Atlas</x:v>
      </x:c>
      <x:c r="W50" s="24" t="str">
        <x:v>6/6 actuelles</x:v>
      </x:c>
      <x:c r="X50" s="24" t="str">
        <x:v>6/6 actuelles</x:v>
      </x:c>
      <x:c r="Y50" s="24" t="str">
        <x:v>Périmée (0/6)</x:v>
      </x:c>
      <x:c r="Z50" s="24" t="str">
        <x:v>Périmée (0/6)</x:v>
      </x:c>
      <x:c r="AA50" s="23" t="str">
        <x:v>Validation navigateur passée. Publication exacte en attente de Thanh.</x:v>
      </x:c>
      <x:c r="AB50" s="21" t="str">
        <x:v>674f752f62b3179c8a21300c7796024f5935efc1</x:v>
      </x:c>
      <x:c r="AC50" s="21" t="str">
        <x:v>En cours</x:v>
      </x:c>
    </x:row>
    <x:row r="51" ht="40" customHeight="1">
      <x:c r="A51" s="22" t="str">
        <x:v>Bibliothèque</x:v>
      </x:c>
      <x:c r="B51" s="22" t="str">
        <x:v>library</x:v>
      </x:c>
      <x:c r="C51" s="26" t="n">
        <x:v>41</x:v>
      </x:c>
      <x:c r="D51" s="24" t="str">
        <x:v>Lot 07</x:v>
      </x:c>
      <x:c r="E51" s="25" t="str">
        <x:v>Lieux</x:v>
      </x:c>
      <x:c r="F51" s="24" t="str">
        <x:f>IF(AND(G51=8,COUNTIF(Q51:V51,"Atlas")=6),"Intégré","À faire")</x:f>
        <x:v>Intégré</x:v>
      </x:c>
      <x:c r="G51" s="27" t="n">
        <x:f>COUNTIF(I51:P51,"Présent")</x:f>
        <x:v>8</x:v>
      </x:c>
      <x:c r="H51" s="24" t="str">
        <x:v>Archive référencée</x:v>
      </x:c>
      <x:c r="I51" s="24" t="str">
        <x:v>Présent</x:v>
      </x:c>
      <x:c r="J51" s="24" t="str">
        <x:v>Présent</x:v>
      </x:c>
      <x:c r="K51" s="24" t="str">
        <x:v>Présent</x:v>
      </x:c>
      <x:c r="L51" s="24" t="str">
        <x:v>Présent</x:v>
      </x:c>
      <x:c r="M51" s="24" t="str">
        <x:v>Présent</x:v>
      </x:c>
      <x:c r="N51" s="24" t="str">
        <x:v>Présent</x:v>
      </x:c>
      <x:c r="O51" s="24" t="str">
        <x:v>Présent</x:v>
      </x:c>
      <x:c r="P51" s="24" t="str">
        <x:v>Présent</x:v>
      </x:c>
      <x:c r="Q51" s="24" t="str">
        <x:v>Atlas</x:v>
      </x:c>
      <x:c r="R51" s="24" t="str">
        <x:v>Atlas</x:v>
      </x:c>
      <x:c r="S51" s="24" t="str">
        <x:v>Atlas</x:v>
      </x:c>
      <x:c r="T51" s="24" t="str">
        <x:v>Atlas</x:v>
      </x:c>
      <x:c r="U51" s="24" t="str">
        <x:v>Atlas</x:v>
      </x:c>
      <x:c r="V51" s="24" t="str">
        <x:v>Atlas</x:v>
      </x:c>
      <x:c r="W51" s="24" t="str">
        <x:v>6/6 actuelles</x:v>
      </x:c>
      <x:c r="X51" s="24" t="str">
        <x:v>6/6 actuelles</x:v>
      </x:c>
      <x:c r="Y51" s="24" t="str">
        <x:v>Non consignée</x:v>
      </x:c>
      <x:c r="Z51" s="24" t="str">
        <x:v>Périmée (0/6)</x:v>
      </x:c>
      <x:c r="AA51" s="23" t="str">
        <x:v>Validation navigateur passée. Publication exacte en attente de Thanh.</x:v>
      </x:c>
      <x:c r="AB51" s="21" t="str">
        <x:v>674f752f62b3179c8a21300c7796024f5935efc1</x:v>
      </x:c>
      <x:c r="AC51" s="21" t="str">
        <x:v>En cours</x:v>
      </x:c>
    </x:row>
    <x:row r="52" ht="40" customHeight="1">
      <x:c r="A52" s="22" t="str">
        <x:v>Brouillard</x:v>
      </x:c>
      <x:c r="B52" s="22" t="str">
        <x:v>fog</x:v>
      </x:c>
      <x:c r="C52" s="26" t="n">
        <x:v>42</x:v>
      </x:c>
      <x:c r="D52" s="24" t="str">
        <x:v>Lot 07</x:v>
      </x:c>
      <x:c r="E52" s="25" t="str">
        <x:v>Nature</x:v>
      </x:c>
      <x:c r="F52" s="24" t="str">
        <x:f>IF(AND(G52=8,COUNTIF(Q52:V52,"Atlas")=6),"Intégré","À faire")</x:f>
        <x:v>Intégré</x:v>
      </x:c>
      <x:c r="G52" s="27" t="n">
        <x:f>COUNTIF(I52:P52,"Présent")</x:f>
        <x:v>8</x:v>
      </x:c>
      <x:c r="H52" s="24" t="str">
        <x:v>Archive référencée</x:v>
      </x:c>
      <x:c r="I52" s="24" t="str">
        <x:v>Présent</x:v>
      </x:c>
      <x:c r="J52" s="24" t="str">
        <x:v>Présent</x:v>
      </x:c>
      <x:c r="K52" s="24" t="str">
        <x:v>Présent</x:v>
      </x:c>
      <x:c r="L52" s="24" t="str">
        <x:v>Présent</x:v>
      </x:c>
      <x:c r="M52" s="24" t="str">
        <x:v>Présent</x:v>
      </x:c>
      <x:c r="N52" s="24" t="str">
        <x:v>Présent</x:v>
      </x:c>
      <x:c r="O52" s="24" t="str">
        <x:v>Présent</x:v>
      </x:c>
      <x:c r="P52" s="24" t="str">
        <x:v>Présent</x:v>
      </x:c>
      <x:c r="Q52" s="24" t="str">
        <x:v>Atlas</x:v>
      </x:c>
      <x:c r="R52" s="24" t="str">
        <x:v>Atlas</x:v>
      </x:c>
      <x:c r="S52" s="24" t="str">
        <x:v>Atlas</x:v>
      </x:c>
      <x:c r="T52" s="24" t="str">
        <x:v>Atlas</x:v>
      </x:c>
      <x:c r="U52" s="24" t="str">
        <x:v>Atlas</x:v>
      </x:c>
      <x:c r="V52" s="24" t="str">
        <x:v>Atlas</x:v>
      </x:c>
      <x:c r="W52" s="24" t="str">
        <x:v>6/6 actuelles</x:v>
      </x:c>
      <x:c r="X52" s="24" t="str">
        <x:v>6/6 actuelles</x:v>
      </x:c>
      <x:c r="Y52" s="24" t="str">
        <x:v>Non consignée</x:v>
      </x:c>
      <x:c r="Z52" s="24" t="str">
        <x:v>Périmée (0/6)</x:v>
      </x:c>
      <x:c r="AA52" s="23" t="str">
        <x:v>Validation navigateur passée. Publication exacte en attente de Thanh.</x:v>
      </x:c>
      <x:c r="AB52" s="21" t="str">
        <x:v>674f752f62b3179c8a21300c7796024f5935efc1</x:v>
      </x:c>
      <x:c r="AC52" s="21" t="str">
        <x:v>En cours</x:v>
      </x:c>
    </x:row>
    <x:row r="53" ht="40" customHeight="1">
      <x:c r="A53" s="22" t="str">
        <x:v>Cadeau</x:v>
      </x:c>
      <x:c r="B53" s="22" t="str">
        <x:v>gift</x:v>
      </x:c>
      <x:c r="C53" s="26" t="n">
        <x:v>43</x:v>
      </x:c>
      <x:c r="D53" s="24" t="str">
        <x:v>Lot 07</x:v>
      </x:c>
      <x:c r="E53" s="25" t="str">
        <x:v>Objets</x:v>
      </x:c>
      <x:c r="F53" s="24" t="str">
        <x:f>IF(AND(G53=8,COUNTIF(Q53:V53,"Atlas")=6),"Intégré","À faire")</x:f>
        <x:v>Intégré</x:v>
      </x:c>
      <x:c r="G53" s="27" t="n">
        <x:f>COUNTIF(I53:P53,"Présent")</x:f>
        <x:v>8</x:v>
      </x:c>
      <x:c r="H53" s="24" t="str">
        <x:v>Archive référencée</x:v>
      </x:c>
      <x:c r="I53" s="24" t="str">
        <x:v>Présent</x:v>
      </x:c>
      <x:c r="J53" s="24" t="str">
        <x:v>Présent</x:v>
      </x:c>
      <x:c r="K53" s="24" t="str">
        <x:v>Présent</x:v>
      </x:c>
      <x:c r="L53" s="24" t="str">
        <x:v>Présent</x:v>
      </x:c>
      <x:c r="M53" s="24" t="str">
        <x:v>Présent</x:v>
      </x:c>
      <x:c r="N53" s="24" t="str">
        <x:v>Présent</x:v>
      </x:c>
      <x:c r="O53" s="24" t="str">
        <x:v>Présent</x:v>
      </x:c>
      <x:c r="P53" s="24" t="str">
        <x:v>Présent</x:v>
      </x:c>
      <x:c r="Q53" s="24" t="str">
        <x:v>Atlas</x:v>
      </x:c>
      <x:c r="R53" s="24" t="str">
        <x:v>Atlas</x:v>
      </x:c>
      <x:c r="S53" s="24" t="str">
        <x:v>Atlas</x:v>
      </x:c>
      <x:c r="T53" s="24" t="str">
        <x:v>Atlas</x:v>
      </x:c>
      <x:c r="U53" s="24" t="str">
        <x:v>Atlas</x:v>
      </x:c>
      <x:c r="V53" s="24" t="str">
        <x:v>Atlas</x:v>
      </x:c>
      <x:c r="W53" s="24" t="str">
        <x:v>6/6 actuelles</x:v>
      </x:c>
      <x:c r="X53" s="24" t="str">
        <x:v>6/6 actuelles</x:v>
      </x:c>
      <x:c r="Y53" s="24" t="str">
        <x:v>Non consignée</x:v>
      </x:c>
      <x:c r="Z53" s="24" t="str">
        <x:v>Périmée (0/6)</x:v>
      </x:c>
      <x:c r="AA53" s="23" t="str">
        <x:v>Validation navigateur passée. Publication exacte en attente de Thanh.</x:v>
      </x:c>
      <x:c r="AB53" s="21" t="str">
        <x:v>674f752f62b3179c8a21300c7796024f5935efc1</x:v>
      </x:c>
      <x:c r="AC53" s="21" t="str">
        <x:v>En cours</x:v>
      </x:c>
    </x:row>
    <x:row r="54" ht="40" customHeight="1">
      <x:c r="A54" s="22" t="str">
        <x:v>Chercher quelque chose</x:v>
      </x:c>
      <x:c r="B54" s="22" t="str">
        <x:v>searching</x:v>
      </x:c>
      <x:c r="C54" s="26" t="n">
        <x:v>44</x:v>
      </x:c>
      <x:c r="D54" s="24" t="str">
        <x:v>Lot 07</x:v>
      </x:c>
      <x:c r="E54" s="25" t="str">
        <x:v>Actions</x:v>
      </x:c>
      <x:c r="F54" s="24" t="str">
        <x:f>IF(AND(G54=8,COUNTIF(Q54:V54,"Atlas")=6),"Intégré","À faire")</x:f>
        <x:v>Intégré</x:v>
      </x:c>
      <x:c r="G54" s="27" t="n">
        <x:f>COUNTIF(I54:P54,"Présent")</x:f>
        <x:v>8</x:v>
      </x:c>
      <x:c r="H54" s="24" t="str">
        <x:v>Archive référencée</x:v>
      </x:c>
      <x:c r="I54" s="24" t="str">
        <x:v>Présent</x:v>
      </x:c>
      <x:c r="J54" s="24" t="str">
        <x:v>Présent</x:v>
      </x:c>
      <x:c r="K54" s="24" t="str">
        <x:v>Présent</x:v>
      </x:c>
      <x:c r="L54" s="24" t="str">
        <x:v>Présent</x:v>
      </x:c>
      <x:c r="M54" s="24" t="str">
        <x:v>Présent</x:v>
      </x:c>
      <x:c r="N54" s="24" t="str">
        <x:v>Présent</x:v>
      </x:c>
      <x:c r="O54" s="24" t="str">
        <x:v>Présent</x:v>
      </x:c>
      <x:c r="P54" s="24" t="str">
        <x:v>Présent</x:v>
      </x:c>
      <x:c r="Q54" s="24" t="str">
        <x:v>Atlas</x:v>
      </x:c>
      <x:c r="R54" s="24" t="str">
        <x:v>Atlas</x:v>
      </x:c>
      <x:c r="S54" s="24" t="str">
        <x:v>Atlas</x:v>
      </x:c>
      <x:c r="T54" s="24" t="str">
        <x:v>Atlas</x:v>
      </x:c>
      <x:c r="U54" s="24" t="str">
        <x:v>Atlas</x:v>
      </x:c>
      <x:c r="V54" s="24" t="str">
        <x:v>Atlas</x:v>
      </x:c>
      <x:c r="W54" s="24" t="str">
        <x:v>6/6 actuelles</x:v>
      </x:c>
      <x:c r="X54" s="24" t="str">
        <x:v>6/6 actuelles</x:v>
      </x:c>
      <x:c r="Y54" s="24" t="str">
        <x:v>Non consignée</x:v>
      </x:c>
      <x:c r="Z54" s="24" t="str">
        <x:v>Périmée (0/6)</x:v>
      </x:c>
      <x:c r="AA54" s="23" t="str">
        <x:v>Validation navigateur passée. Publication exacte en attente de Thanh.</x:v>
      </x:c>
      <x:c r="AB54" s="21" t="str">
        <x:v>674f752f62b3179c8a21300c7796024f5935efc1</x:v>
      </x:c>
      <x:c r="AC54" s="21" t="str">
        <x:v>En cours</x:v>
      </x:c>
    </x:row>
    <x:row r="55" ht="40" customHeight="1">
      <x:c r="A55" s="22" t="str">
        <x:v>Conduire / Perdre le contrôle</x:v>
      </x:c>
      <x:c r="B55" s="22" t="str">
        <x:v>driving</x:v>
      </x:c>
      <x:c r="C55" s="26" t="n">
        <x:v>45</x:v>
      </x:c>
      <x:c r="D55" s="24" t="str">
        <x:v>Lot 07</x:v>
      </x:c>
      <x:c r="E55" s="25" t="str">
        <x:v>Actions</x:v>
      </x:c>
      <x:c r="F55" s="24" t="str">
        <x:f>IF(AND(G55=8,COUNTIF(Q55:V55,"Atlas")=6),"Intégré","À faire")</x:f>
        <x:v>Intégré</x:v>
      </x:c>
      <x:c r="G55" s="27" t="n">
        <x:f>COUNTIF(I55:P55,"Présent")</x:f>
        <x:v>8</x:v>
      </x:c>
      <x:c r="H55" s="24" t="str">
        <x:v>Archive référencée</x:v>
      </x:c>
      <x:c r="I55" s="24" t="str">
        <x:v>Présent</x:v>
      </x:c>
      <x:c r="J55" s="24" t="str">
        <x:v>Présent</x:v>
      </x:c>
      <x:c r="K55" s="24" t="str">
        <x:v>Présent</x:v>
      </x:c>
      <x:c r="L55" s="24" t="str">
        <x:v>Présent</x:v>
      </x:c>
      <x:c r="M55" s="24" t="str">
        <x:v>Présent</x:v>
      </x:c>
      <x:c r="N55" s="24" t="str">
        <x:v>Présent</x:v>
      </x:c>
      <x:c r="O55" s="24" t="str">
        <x:v>Présent</x:v>
      </x:c>
      <x:c r="P55" s="24" t="str">
        <x:v>Présent</x:v>
      </x:c>
      <x:c r="Q55" s="24" t="str">
        <x:v>Atlas</x:v>
      </x:c>
      <x:c r="R55" s="24" t="str">
        <x:v>Atlas</x:v>
      </x:c>
      <x:c r="S55" s="24" t="str">
        <x:v>Atlas</x:v>
      </x:c>
      <x:c r="T55" s="24" t="str">
        <x:v>Atlas</x:v>
      </x:c>
      <x:c r="U55" s="24" t="str">
        <x:v>Atlas</x:v>
      </x:c>
      <x:c r="V55" s="24" t="str">
        <x:v>Atlas</x:v>
      </x:c>
      <x:c r="W55" s="24" t="str">
        <x:v>6/6 actuelles</x:v>
      </x:c>
      <x:c r="X55" s="24" t="str">
        <x:v>6/6 actuelles</x:v>
      </x:c>
      <x:c r="Y55" s="24" t="str">
        <x:v>Non consignée</x:v>
      </x:c>
      <x:c r="Z55" s="24" t="str">
        <x:v>Périmée (0/6)</x:v>
      </x:c>
      <x:c r="AA55" s="23" t="str">
        <x:v>Validation navigateur passée. Publication exacte en attente de Thanh.</x:v>
      </x:c>
      <x:c r="AB55" s="21" t="str">
        <x:v>674f752f62b3179c8a21300c7796024f5935efc1</x:v>
      </x:c>
      <x:c r="AC55" s="21" t="str">
        <x:v>En cours</x:v>
      </x:c>
    </x:row>
    <x:row r="56" ht="40" customHeight="1">
      <x:c r="A56" s="22" t="str">
        <x:v>Couloir</x:v>
      </x:c>
      <x:c r="B56" s="22" t="str">
        <x:v>hallway</x:v>
      </x:c>
      <x:c r="C56" s="26" t="n">
        <x:v>46</x:v>
      </x:c>
      <x:c r="D56" s="24" t="str">
        <x:v>Lot 07</x:v>
      </x:c>
      <x:c r="E56" s="25" t="str">
        <x:v>Lieux</x:v>
      </x:c>
      <x:c r="F56" s="24" t="str">
        <x:f>IF(AND(G56=8,COUNTIF(Q56:V56,"Atlas")=6),"Intégré","À faire")</x:f>
        <x:v>Intégré</x:v>
      </x:c>
      <x:c r="G56" s="27" t="n">
        <x:f>COUNTIF(I56:P56,"Présent")</x:f>
        <x:v>8</x:v>
      </x:c>
      <x:c r="H56" s="24" t="str">
        <x:v>Archive référencée</x:v>
      </x:c>
      <x:c r="I56" s="24" t="str">
        <x:v>Présent</x:v>
      </x:c>
      <x:c r="J56" s="24" t="str">
        <x:v>Présent</x:v>
      </x:c>
      <x:c r="K56" s="24" t="str">
        <x:v>Présent</x:v>
      </x:c>
      <x:c r="L56" s="24" t="str">
        <x:v>Présent</x:v>
      </x:c>
      <x:c r="M56" s="24" t="str">
        <x:v>Présent</x:v>
      </x:c>
      <x:c r="N56" s="24" t="str">
        <x:v>Présent</x:v>
      </x:c>
      <x:c r="O56" s="24" t="str">
        <x:v>Présent</x:v>
      </x:c>
      <x:c r="P56" s="24" t="str">
        <x:v>Présent</x:v>
      </x:c>
      <x:c r="Q56" s="24" t="str">
        <x:v>Atlas</x:v>
      </x:c>
      <x:c r="R56" s="24" t="str">
        <x:v>Atlas</x:v>
      </x:c>
      <x:c r="S56" s="24" t="str">
        <x:v>Atlas</x:v>
      </x:c>
      <x:c r="T56" s="24" t="str">
        <x:v>Atlas</x:v>
      </x:c>
      <x:c r="U56" s="24" t="str">
        <x:v>Atlas</x:v>
      </x:c>
      <x:c r="V56" s="24" t="str">
        <x:v>Atlas</x:v>
      </x:c>
      <x:c r="W56" s="24" t="str">
        <x:v>6/6 actuelles</x:v>
      </x:c>
      <x:c r="X56" s="24" t="str">
        <x:v>6/6 actuelles</x:v>
      </x:c>
      <x:c r="Y56" s="24" t="str">
        <x:v>Non consignée</x:v>
      </x:c>
      <x:c r="Z56" s="24" t="str">
        <x:v>Périmée (0/6)</x:v>
      </x:c>
      <x:c r="AA56" s="23" t="str">
        <x:v>Validation navigateur passée. Publication exacte en attente de Thanh.</x:v>
      </x:c>
      <x:c r="AB56" s="21" t="str">
        <x:v>674f752f62b3179c8a21300c7796024f5935efc1</x:v>
      </x:c>
      <x:c r="AC56" s="21" t="str">
        <x:v>En cours</x:v>
      </x:c>
    </x:row>
    <x:row r="57" ht="40" customHeight="1">
      <x:c r="A57" s="22" t="str">
        <x:v>Dragon</x:v>
      </x:c>
      <x:c r="B57" s="22" t="str">
        <x:v>dragon</x:v>
      </x:c>
      <x:c r="C57" s="26" t="n">
        <x:v>47</x:v>
      </x:c>
      <x:c r="D57" s="24" t="str">
        <x:v>Lot 07</x:v>
      </x:c>
      <x:c r="E57" s="25" t="str">
        <x:v>Animaux</x:v>
      </x:c>
      <x:c r="F57" s="24" t="str">
        <x:f>IF(AND(G57=8,COUNTIF(Q57:V57,"Atlas")=6),"Intégré","À faire")</x:f>
        <x:v>Intégré</x:v>
      </x:c>
      <x:c r="G57" s="27" t="n">
        <x:f>COUNTIF(I57:P57,"Présent")</x:f>
        <x:v>8</x:v>
      </x:c>
      <x:c r="H57" s="24" t="str">
        <x:v>Archive référencée</x:v>
      </x:c>
      <x:c r="I57" s="24" t="str">
        <x:v>Présent</x:v>
      </x:c>
      <x:c r="J57" s="24" t="str">
        <x:v>Présent</x:v>
      </x:c>
      <x:c r="K57" s="24" t="str">
        <x:v>Présent</x:v>
      </x:c>
      <x:c r="L57" s="24" t="str">
        <x:v>Présent</x:v>
      </x:c>
      <x:c r="M57" s="24" t="str">
        <x:v>Présent</x:v>
      </x:c>
      <x:c r="N57" s="24" t="str">
        <x:v>Présent</x:v>
      </x:c>
      <x:c r="O57" s="24" t="str">
        <x:v>Présent</x:v>
      </x:c>
      <x:c r="P57" s="24" t="str">
        <x:v>Présent</x:v>
      </x:c>
      <x:c r="Q57" s="24" t="str">
        <x:v>Atlas</x:v>
      </x:c>
      <x:c r="R57" s="24" t="str">
        <x:v>Atlas</x:v>
      </x:c>
      <x:c r="S57" s="24" t="str">
        <x:v>Atlas</x:v>
      </x:c>
      <x:c r="T57" s="24" t="str">
        <x:v>Atlas</x:v>
      </x:c>
      <x:c r="U57" s="24" t="str">
        <x:v>Atlas</x:v>
      </x:c>
      <x:c r="V57" s="24" t="str">
        <x:v>Atlas</x:v>
      </x:c>
      <x:c r="W57" s="24" t="str">
        <x:v>6/6 actuelles</x:v>
      </x:c>
      <x:c r="X57" s="24" t="str">
        <x:v>6/6 actuelles</x:v>
      </x:c>
      <x:c r="Y57" s="24" t="str">
        <x:v>Non consignée</x:v>
      </x:c>
      <x:c r="Z57" s="24" t="str">
        <x:v>Périmée (0/6)</x:v>
      </x:c>
      <x:c r="AA57" s="23" t="str">
        <x:v>Validation navigateur passée. Publication exacte en attente de Thanh.</x:v>
      </x:c>
      <x:c r="AB57" s="21" t="str">
        <x:v>674f752f62b3179c8a21300c7796024f5935efc1</x:v>
      </x:c>
      <x:c r="AC57" s="21" t="str">
        <x:v>En cours</x:v>
      </x:c>
    </x:row>
    <x:row r="58" ht="40" customHeight="1">
      <x:c r="A58" s="22" t="str">
        <x:v>Espace / Planètes</x:v>
      </x:c>
      <x:c r="B58" s="22" t="str">
        <x:v>outer-space</x:v>
      </x:c>
      <x:c r="C58" s="26" t="n">
        <x:v>48</x:v>
      </x:c>
      <x:c r="D58" s="24" t="str">
        <x:v>Lot 07</x:v>
      </x:c>
      <x:c r="E58" s="25" t="str">
        <x:v>Ciel</x:v>
      </x:c>
      <x:c r="F58" s="24" t="str">
        <x:f>IF(AND(G58=8,COUNTIF(Q58:V58,"Atlas")=6),"Intégré","À faire")</x:f>
        <x:v>Intégré</x:v>
      </x:c>
      <x:c r="G58" s="27" t="n">
        <x:f>COUNTIF(I58:P58,"Présent")</x:f>
        <x:v>8</x:v>
      </x:c>
      <x:c r="H58" s="24" t="str">
        <x:v>Archive référencée</x:v>
      </x:c>
      <x:c r="I58" s="24" t="str">
        <x:v>Présent</x:v>
      </x:c>
      <x:c r="J58" s="24" t="str">
        <x:v>Présent</x:v>
      </x:c>
      <x:c r="K58" s="24" t="str">
        <x:v>Présent</x:v>
      </x:c>
      <x:c r="L58" s="24" t="str">
        <x:v>Présent</x:v>
      </x:c>
      <x:c r="M58" s="24" t="str">
        <x:v>Présent</x:v>
      </x:c>
      <x:c r="N58" s="24" t="str">
        <x:v>Présent</x:v>
      </x:c>
      <x:c r="O58" s="24" t="str">
        <x:v>Présent</x:v>
      </x:c>
      <x:c r="P58" s="24" t="str">
        <x:v>Présent</x:v>
      </x:c>
      <x:c r="Q58" s="24" t="str">
        <x:v>Atlas</x:v>
      </x:c>
      <x:c r="R58" s="24" t="str">
        <x:v>Atlas</x:v>
      </x:c>
      <x:c r="S58" s="24" t="str">
        <x:v>Atlas</x:v>
      </x:c>
      <x:c r="T58" s="24" t="str">
        <x:v>Atlas</x:v>
      </x:c>
      <x:c r="U58" s="24" t="str">
        <x:v>Atlas</x:v>
      </x:c>
      <x:c r="V58" s="24" t="str">
        <x:v>Atlas</x:v>
      </x:c>
      <x:c r="W58" s="24" t="str">
        <x:v>6/6 actuelles</x:v>
      </x:c>
      <x:c r="X58" s="24" t="str">
        <x:v>6/6 actuelles</x:v>
      </x:c>
      <x:c r="Y58" s="24" t="str">
        <x:v>Non consignée</x:v>
      </x:c>
      <x:c r="Z58" s="24" t="str">
        <x:v>Périmée (0/6)</x:v>
      </x:c>
      <x:c r="AA58" s="23" t="str">
        <x:v>Validation navigateur passée. Publication exacte en attente de Thanh.</x:v>
      </x:c>
      <x:c r="AB58" s="21" t="str">
        <x:v>674f752f62b3179c8a21300c7796024f5935efc1</x:v>
      </x:c>
      <x:c r="AC58" s="21" t="str">
        <x:v>En cours</x:v>
      </x:c>
    </x:row>
    <x:row r="59" ht="40" customHeight="1">
      <x:c r="A59" s="22" t="str">
        <x:v>Être sur scène</x:v>
      </x:c>
      <x:c r="B59" s="22" t="str">
        <x:v>stage</x:v>
      </x:c>
      <x:c r="C59" s="26" t="n">
        <x:v>49</x:v>
      </x:c>
      <x:c r="D59" s="24" t="str">
        <x:v>Lot 07</x:v>
      </x:c>
      <x:c r="E59" s="25" t="str">
        <x:v>Actions</x:v>
      </x:c>
      <x:c r="F59" s="24" t="str">
        <x:f>IF(AND(G59=8,COUNTIF(Q59:V59,"Atlas")=6),"Intégré","À faire")</x:f>
        <x:v>Intégré</x:v>
      </x:c>
      <x:c r="G59" s="27" t="n">
        <x:f>COUNTIF(I59:P59,"Présent")</x:f>
        <x:v>8</x:v>
      </x:c>
      <x:c r="H59" s="24" t="str">
        <x:v>Archive référencée</x:v>
      </x:c>
      <x:c r="I59" s="24" t="str">
        <x:v>Présent</x:v>
      </x:c>
      <x:c r="J59" s="24" t="str">
        <x:v>Présent</x:v>
      </x:c>
      <x:c r="K59" s="24" t="str">
        <x:v>Présent</x:v>
      </x:c>
      <x:c r="L59" s="24" t="str">
        <x:v>Présent</x:v>
      </x:c>
      <x:c r="M59" s="24" t="str">
        <x:v>Présent</x:v>
      </x:c>
      <x:c r="N59" s="24" t="str">
        <x:v>Présent</x:v>
      </x:c>
      <x:c r="O59" s="24" t="str">
        <x:v>Présent</x:v>
      </x:c>
      <x:c r="P59" s="24" t="str">
        <x:v>Présent</x:v>
      </x:c>
      <x:c r="Q59" s="24" t="str">
        <x:v>Atlas</x:v>
      </x:c>
      <x:c r="R59" s="24" t="str">
        <x:v>Atlas</x:v>
      </x:c>
      <x:c r="S59" s="24" t="str">
        <x:v>Atlas</x:v>
      </x:c>
      <x:c r="T59" s="24" t="str">
        <x:v>Atlas</x:v>
      </x:c>
      <x:c r="U59" s="24" t="str">
        <x:v>Atlas</x:v>
      </x:c>
      <x:c r="V59" s="24" t="str">
        <x:v>Atlas</x:v>
      </x:c>
      <x:c r="W59" s="24" t="str">
        <x:v>6/6 actuelles</x:v>
      </x:c>
      <x:c r="X59" s="24" t="str">
        <x:v>6/6 actuelles</x:v>
      </x:c>
      <x:c r="Y59" s="24" t="str">
        <x:v>Non consignée</x:v>
      </x:c>
      <x:c r="Z59" s="24" t="str">
        <x:v>Périmée (0/6)</x:v>
      </x:c>
      <x:c r="AA59" s="23" t="str">
        <x:v>Validation navigateur passée. Publication exacte en attente de Thanh.</x:v>
      </x:c>
      <x:c r="AB59" s="21" t="str">
        <x:v>674f752f62b3179c8a21300c7796024f5935efc1</x:v>
      </x:c>
      <x:c r="AC59" s="21" t="str">
        <x:v>En cours</x:v>
      </x:c>
    </x:row>
    <x:row r="60" ht="40" customHeight="1">
      <x:c r="A60" s="22" t="str">
        <x:v>Explosion / Bombe</x:v>
      </x:c>
      <x:c r="B60" s="22" t="str">
        <x:v>explosion</x:v>
      </x:c>
      <x:c r="C60" s="26" t="n">
        <x:v>50</x:v>
      </x:c>
      <x:c r="D60" s="24" t="str">
        <x:v>Lot 07</x:v>
      </x:c>
      <x:c r="E60" s="25" t="str">
        <x:v>Actions</x:v>
      </x:c>
      <x:c r="F60" s="24" t="str">
        <x:f>IF(AND(G60=8,COUNTIF(Q60:V60,"Atlas")=6),"Intégré","À faire")</x:f>
        <x:v>Intégré</x:v>
      </x:c>
      <x:c r="G60" s="27" t="n">
        <x:f>COUNTIF(I60:P60,"Présent")</x:f>
        <x:v>8</x:v>
      </x:c>
      <x:c r="H60" s="24" t="str">
        <x:v>Archive référencée</x:v>
      </x:c>
      <x:c r="I60" s="24" t="str">
        <x:v>Présent</x:v>
      </x:c>
      <x:c r="J60" s="24" t="str">
        <x:v>Présent</x:v>
      </x:c>
      <x:c r="K60" s="24" t="str">
        <x:v>Présent</x:v>
      </x:c>
      <x:c r="L60" s="24" t="str">
        <x:v>Présent</x:v>
      </x:c>
      <x:c r="M60" s="24" t="str">
        <x:v>Présent</x:v>
      </x:c>
      <x:c r="N60" s="24" t="str">
        <x:v>Présent</x:v>
      </x:c>
      <x:c r="O60" s="24" t="str">
        <x:v>Présent</x:v>
      </x:c>
      <x:c r="P60" s="24" t="str">
        <x:v>Présent</x:v>
      </x:c>
      <x:c r="Q60" s="24" t="str">
        <x:v>Atlas</x:v>
      </x:c>
      <x:c r="R60" s="24" t="str">
        <x:v>Atlas</x:v>
      </x:c>
      <x:c r="S60" s="24" t="str">
        <x:v>Atlas</x:v>
      </x:c>
      <x:c r="T60" s="24" t="str">
        <x:v>Atlas</x:v>
      </x:c>
      <x:c r="U60" s="24" t="str">
        <x:v>Atlas</x:v>
      </x:c>
      <x:c r="V60" s="24" t="str">
        <x:v>Atlas</x:v>
      </x:c>
      <x:c r="W60" s="24" t="str">
        <x:v>6/6 actuelles</x:v>
      </x:c>
      <x:c r="X60" s="24" t="str">
        <x:v>6/6 actuelles</x:v>
      </x:c>
      <x:c r="Y60" s="24" t="str">
        <x:v>Non consignée</x:v>
      </x:c>
      <x:c r="Z60" s="24" t="str">
        <x:v>Périmée (0/6)</x:v>
      </x:c>
      <x:c r="AA60" s="23" t="str">
        <x:v>Validation navigateur passée. Publication exacte en attente de Thanh.</x:v>
      </x:c>
      <x:c r="AB60" s="21" t="str">
        <x:v>674f752f62b3179c8a21300c7796024f5935efc1</x:v>
      </x:c>
      <x:c r="AC60" s="21" t="str">
        <x:v>En cours</x:v>
      </x:c>
    </x:row>
    <x:row r="61" ht="40" customHeight="1">
      <x:c r="A61" s="22" t="str">
        <x:v>Fenêtre</x:v>
      </x:c>
      <x:c r="B61" s="22" t="str">
        <x:v>window</x:v>
      </x:c>
      <x:c r="C61" s="26" t="n">
        <x:v>51</x:v>
      </x:c>
      <x:c r="D61" s="24" t="str">
        <x:v>Lot 07</x:v>
      </x:c>
      <x:c r="E61" s="25" t="str">
        <x:v>Objets</x:v>
      </x:c>
      <x:c r="F61" s="24" t="str">
        <x:f>IF(AND(G61=8,COUNTIF(Q61:V61,"Atlas")=6),"Intégré","À faire")</x:f>
        <x:v>Intégré</x:v>
      </x:c>
      <x:c r="G61" s="27" t="n">
        <x:f>COUNTIF(I61:P61,"Présent")</x:f>
        <x:v>8</x:v>
      </x:c>
      <x:c r="H61" s="24" t="str">
        <x:v>Archive référencée</x:v>
      </x:c>
      <x:c r="I61" s="24" t="str">
        <x:v>Présent</x:v>
      </x:c>
      <x:c r="J61" s="24" t="str">
        <x:v>Présent</x:v>
      </x:c>
      <x:c r="K61" s="24" t="str">
        <x:v>Présent</x:v>
      </x:c>
      <x:c r="L61" s="24" t="str">
        <x:v>Présent</x:v>
      </x:c>
      <x:c r="M61" s="24" t="str">
        <x:v>Présent</x:v>
      </x:c>
      <x:c r="N61" s="24" t="str">
        <x:v>Présent</x:v>
      </x:c>
      <x:c r="O61" s="24" t="str">
        <x:v>Présent</x:v>
      </x:c>
      <x:c r="P61" s="24" t="str">
        <x:v>Présent</x:v>
      </x:c>
      <x:c r="Q61" s="24" t="str">
        <x:v>Atlas</x:v>
      </x:c>
      <x:c r="R61" s="24" t="str">
        <x:v>Atlas</x:v>
      </x:c>
      <x:c r="S61" s="24" t="str">
        <x:v>Atlas</x:v>
      </x:c>
      <x:c r="T61" s="24" t="str">
        <x:v>Atlas</x:v>
      </x:c>
      <x:c r="U61" s="24" t="str">
        <x:v>Atlas</x:v>
      </x:c>
      <x:c r="V61" s="24" t="str">
        <x:v>Atlas</x:v>
      </x:c>
      <x:c r="W61" s="24" t="str">
        <x:v>6/6 actuelles</x:v>
      </x:c>
      <x:c r="X61" s="24" t="str">
        <x:v>6/6 actuelles</x:v>
      </x:c>
      <x:c r="Y61" s="24" t="str">
        <x:v>Non consignée</x:v>
      </x:c>
      <x:c r="Z61" s="24" t="str">
        <x:v>Périmée (0/6)</x:v>
      </x:c>
      <x:c r="AA61" s="23" t="str">
        <x:v>Validation navigateur passée. Publication exacte en attente de Thanh.</x:v>
      </x:c>
      <x:c r="AB61" s="21" t="str">
        <x:v>674f752f62b3179c8a21300c7796024f5935efc1</x:v>
      </x:c>
      <x:c r="AC61" s="21" t="str">
        <x:v>En cours</x:v>
      </x:c>
    </x:row>
    <x:row r="62" ht="40" customHeight="1">
      <x:c r="A62" s="22" t="str">
        <x:v>Foule</x:v>
      </x:c>
      <x:c r="B62" s="22" t="str">
        <x:v>crowd</x:v>
      </x:c>
      <x:c r="C62" s="26" t="n">
        <x:v>52</x:v>
      </x:c>
      <x:c r="D62" s="24" t="str">
        <x:v>Lot 07</x:v>
      </x:c>
      <x:c r="E62" s="25" t="str">
        <x:v>Personnes</x:v>
      </x:c>
      <x:c r="F62" s="24" t="str">
        <x:f>IF(AND(G62=8,COUNTIF(Q62:V62,"Atlas")=6),"Intégré","À faire")</x:f>
        <x:v>Intégré</x:v>
      </x:c>
      <x:c r="G62" s="27" t="n">
        <x:f>COUNTIF(I62:P62,"Présent")</x:f>
        <x:v>8</x:v>
      </x:c>
      <x:c r="H62" s="24" t="str">
        <x:v>Archive référencée</x:v>
      </x:c>
      <x:c r="I62" s="24" t="str">
        <x:v>Présent</x:v>
      </x:c>
      <x:c r="J62" s="24" t="str">
        <x:v>Présent</x:v>
      </x:c>
      <x:c r="K62" s="24" t="str">
        <x:v>Présent</x:v>
      </x:c>
      <x:c r="L62" s="24" t="str">
        <x:v>Présent</x:v>
      </x:c>
      <x:c r="M62" s="24" t="str">
        <x:v>Présent</x:v>
      </x:c>
      <x:c r="N62" s="24" t="str">
        <x:v>Présent</x:v>
      </x:c>
      <x:c r="O62" s="24" t="str">
        <x:v>Présent</x:v>
      </x:c>
      <x:c r="P62" s="24" t="str">
        <x:v>Présent</x:v>
      </x:c>
      <x:c r="Q62" s="24" t="str">
        <x:v>Atlas</x:v>
      </x:c>
      <x:c r="R62" s="24" t="str">
        <x:v>Atlas</x:v>
      </x:c>
      <x:c r="S62" s="24" t="str">
        <x:v>Atlas</x:v>
      </x:c>
      <x:c r="T62" s="24" t="str">
        <x:v>Atlas</x:v>
      </x:c>
      <x:c r="U62" s="24" t="str">
        <x:v>Atlas</x:v>
      </x:c>
      <x:c r="V62" s="24" t="str">
        <x:v>Atlas</x:v>
      </x:c>
      <x:c r="W62" s="24" t="str">
        <x:v>6/6 actuelles</x:v>
      </x:c>
      <x:c r="X62" s="24" t="str">
        <x:v>6/6 actuelles</x:v>
      </x:c>
      <x:c r="Y62" s="24" t="str">
        <x:v>Non consignée</x:v>
      </x:c>
      <x:c r="Z62" s="24" t="str">
        <x:v>Périmée (0/6)</x:v>
      </x:c>
      <x:c r="AA62" s="23" t="str">
        <x:v>Validation navigateur passée. Publication exacte en attente de Thanh.</x:v>
      </x:c>
      <x:c r="AB62" s="21" t="str">
        <x:v>674f752f62b3179c8a21300c7796024f5935efc1</x:v>
      </x:c>
      <x:c r="AC62" s="21" t="str">
        <x:v>En cours</x:v>
      </x:c>
    </x:row>
    <x:row r="63" ht="40" customHeight="1">
      <x:c r="A63" s="22" t="str">
        <x:v>Gare</x:v>
      </x:c>
      <x:c r="B63" s="22" t="str">
        <x:v>train-station</x:v>
      </x:c>
      <x:c r="C63" s="26" t="n">
        <x:v>53</x:v>
      </x:c>
      <x:c r="D63" s="24" t="str">
        <x:v>Lot 07</x:v>
      </x:c>
      <x:c r="E63" s="25" t="str">
        <x:v>Lieux</x:v>
      </x:c>
      <x:c r="F63" s="24" t="str">
        <x:f>IF(AND(G63=8,COUNTIF(Q63:V63,"Atlas")=6),"Intégré","À faire")</x:f>
        <x:v>Intégré</x:v>
      </x:c>
      <x:c r="G63" s="27" t="n">
        <x:f>COUNTIF(I63:P63,"Présent")</x:f>
        <x:v>8</x:v>
      </x:c>
      <x:c r="H63" s="24" t="str">
        <x:v>Archive référencée</x:v>
      </x:c>
      <x:c r="I63" s="24" t="str">
        <x:v>Présent</x:v>
      </x:c>
      <x:c r="J63" s="24" t="str">
        <x:v>Présent</x:v>
      </x:c>
      <x:c r="K63" s="24" t="str">
        <x:v>Présent</x:v>
      </x:c>
      <x:c r="L63" s="24" t="str">
        <x:v>Présent</x:v>
      </x:c>
      <x:c r="M63" s="24" t="str">
        <x:v>Présent</x:v>
      </x:c>
      <x:c r="N63" s="24" t="str">
        <x:v>Présent</x:v>
      </x:c>
      <x:c r="O63" s="24" t="str">
        <x:v>Présent</x:v>
      </x:c>
      <x:c r="P63" s="24" t="str">
        <x:v>Présent</x:v>
      </x:c>
      <x:c r="Q63" s="24" t="str">
        <x:v>Atlas</x:v>
      </x:c>
      <x:c r="R63" s="24" t="str">
        <x:v>Atlas</x:v>
      </x:c>
      <x:c r="S63" s="24" t="str">
        <x:v>Atlas</x:v>
      </x:c>
      <x:c r="T63" s="24" t="str">
        <x:v>Atlas</x:v>
      </x:c>
      <x:c r="U63" s="24" t="str">
        <x:v>Atlas</x:v>
      </x:c>
      <x:c r="V63" s="24" t="str">
        <x:v>Atlas</x:v>
      </x:c>
      <x:c r="W63" s="24" t="str">
        <x:v>6/6 actuelles</x:v>
      </x:c>
      <x:c r="X63" s="24" t="str">
        <x:v>6/6 actuelles</x:v>
      </x:c>
      <x:c r="Y63" s="24" t="str">
        <x:v>Non consignée</x:v>
      </x:c>
      <x:c r="Z63" s="24" t="str">
        <x:v>Périmée (0/6)</x:v>
      </x:c>
      <x:c r="AA63" s="23" t="str">
        <x:v>Validation navigateur passée. Publication exacte en attente de Thanh.</x:v>
      </x:c>
      <x:c r="AB63" s="21" t="str">
        <x:v>674f752f62b3179c8a21300c7796024f5935efc1</x:v>
      </x:c>
      <x:c r="AC63" s="21" t="str">
        <x:v>En cours</x:v>
      </x:c>
    </x:row>
    <x:row r="64" ht="40" customHeight="1">
      <x:c r="A64" s="22" t="str">
        <x:v>Glace / Gel</x:v>
      </x:c>
      <x:c r="B64" s="22" t="str">
        <x:v>ice</x:v>
      </x:c>
      <x:c r="C64" s="26" t="n">
        <x:v>54</x:v>
      </x:c>
      <x:c r="D64" s="24" t="str">
        <x:v>Lot 07</x:v>
      </x:c>
      <x:c r="E64" s="25" t="str">
        <x:v>Nature</x:v>
      </x:c>
      <x:c r="F64" s="24" t="str">
        <x:f>IF(AND(G64=8,COUNTIF(Q64:V64,"Atlas")=6),"Intégré","À faire")</x:f>
        <x:v>Intégré</x:v>
      </x:c>
      <x:c r="G64" s="27" t="n">
        <x:f>COUNTIF(I64:P64,"Présent")</x:f>
        <x:v>8</x:v>
      </x:c>
      <x:c r="H64" s="24" t="str">
        <x:v>Archive référencée</x:v>
      </x:c>
      <x:c r="I64" s="24" t="str">
        <x:v>Présent</x:v>
      </x:c>
      <x:c r="J64" s="24" t="str">
        <x:v>Présent</x:v>
      </x:c>
      <x:c r="K64" s="24" t="str">
        <x:v>Présent</x:v>
      </x:c>
      <x:c r="L64" s="24" t="str">
        <x:v>Présent</x:v>
      </x:c>
      <x:c r="M64" s="24" t="str">
        <x:v>Présent</x:v>
      </x:c>
      <x:c r="N64" s="24" t="str">
        <x:v>Présent</x:v>
      </x:c>
      <x:c r="O64" s="24" t="str">
        <x:v>Présent</x:v>
      </x:c>
      <x:c r="P64" s="24" t="str">
        <x:v>Présent</x:v>
      </x:c>
      <x:c r="Q64" s="24" t="str">
        <x:v>Atlas</x:v>
      </x:c>
      <x:c r="R64" s="24" t="str">
        <x:v>Atlas</x:v>
      </x:c>
      <x:c r="S64" s="24" t="str">
        <x:v>Atlas</x:v>
      </x:c>
      <x:c r="T64" s="24" t="str">
        <x:v>Atlas</x:v>
      </x:c>
      <x:c r="U64" s="24" t="str">
        <x:v>Atlas</x:v>
      </x:c>
      <x:c r="V64" s="24" t="str">
        <x:v>Atlas</x:v>
      </x:c>
      <x:c r="W64" s="24" t="str">
        <x:v>6/6 actuelles</x:v>
      </x:c>
      <x:c r="X64" s="24" t="str">
        <x:v>6/6 actuelles</x:v>
      </x:c>
      <x:c r="Y64" s="24" t="str">
        <x:v>Non consignée</x:v>
      </x:c>
      <x:c r="Z64" s="24" t="str">
        <x:v>Périmée (0/6)</x:v>
      </x:c>
      <x:c r="AA64" s="23" t="str">
        <x:v>Validation navigateur passée. Publication exacte en attente de Thanh.</x:v>
      </x:c>
      <x:c r="AB64" s="21" t="str">
        <x:v>674f752f62b3179c8a21300c7796024f5935efc1</x:v>
      </x:c>
      <x:c r="AC64" s="21" t="str">
        <x:v>En cours</x:v>
      </x:c>
    </x:row>
    <x:row r="65" ht="40" customHeight="1">
      <x:c r="A65" s="22" t="str">
        <x:v>Grimper</x:v>
      </x:c>
      <x:c r="B65" s="22" t="str">
        <x:v>climbing</x:v>
      </x:c>
      <x:c r="C65" s="26" t="n">
        <x:v>55</x:v>
      </x:c>
      <x:c r="D65" s="24" t="str">
        <x:v>Lot 07</x:v>
      </x:c>
      <x:c r="E65" s="25" t="str">
        <x:v>Actions</x:v>
      </x:c>
      <x:c r="F65" s="24" t="str">
        <x:f>IF(AND(G65=8,COUNTIF(Q65:V65,"Atlas")=6),"Intégré","À faire")</x:f>
        <x:v>Intégré</x:v>
      </x:c>
      <x:c r="G65" s="27" t="n">
        <x:f>COUNTIF(I65:P65,"Présent")</x:f>
        <x:v>8</x:v>
      </x:c>
      <x:c r="H65" s="24" t="str">
        <x:v>Archive référencée</x:v>
      </x:c>
      <x:c r="I65" s="24" t="str">
        <x:v>Présent</x:v>
      </x:c>
      <x:c r="J65" s="24" t="str">
        <x:v>Présent</x:v>
      </x:c>
      <x:c r="K65" s="24" t="str">
        <x:v>Présent</x:v>
      </x:c>
      <x:c r="L65" s="24" t="str">
        <x:v>Présent</x:v>
      </x:c>
      <x:c r="M65" s="24" t="str">
        <x:v>Présent</x:v>
      </x:c>
      <x:c r="N65" s="24" t="str">
        <x:v>Présent</x:v>
      </x:c>
      <x:c r="O65" s="24" t="str">
        <x:v>Présent</x:v>
      </x:c>
      <x:c r="P65" s="24" t="str">
        <x:v>Présent</x:v>
      </x:c>
      <x:c r="Q65" s="24" t="str">
        <x:v>Atlas</x:v>
      </x:c>
      <x:c r="R65" s="24" t="str">
        <x:v>Atlas</x:v>
      </x:c>
      <x:c r="S65" s="24" t="str">
        <x:v>Atlas</x:v>
      </x:c>
      <x:c r="T65" s="24" t="str">
        <x:v>Atlas</x:v>
      </x:c>
      <x:c r="U65" s="24" t="str">
        <x:v>Atlas</x:v>
      </x:c>
      <x:c r="V65" s="24" t="str">
        <x:v>Atlas</x:v>
      </x:c>
      <x:c r="W65" s="24" t="str">
        <x:v>6/6 actuelles</x:v>
      </x:c>
      <x:c r="X65" s="24" t="str">
        <x:v>6/6 actuelles</x:v>
      </x:c>
      <x:c r="Y65" s="24" t="str">
        <x:v>Non consignée</x:v>
      </x:c>
      <x:c r="Z65" s="24" t="str">
        <x:v>Périmée (0/6)</x:v>
      </x:c>
      <x:c r="AA65" s="23" t="str">
        <x:v>Validation navigateur passée. Publication exacte en attente de Thanh.</x:v>
      </x:c>
      <x:c r="AB65" s="21" t="str">
        <x:v>674f752f62b3179c8a21300c7796024f5935efc1</x:v>
      </x:c>
      <x:c r="AC65" s="21" t="str">
        <x:v>En cours</x:v>
      </x:c>
    </x:row>
    <x:row r="66" ht="40" customHeight="1">
      <x:c r="A66" s="22" t="str">
        <x:v>Jumeaux</x:v>
      </x:c>
      <x:c r="B66" s="22" t="str">
        <x:v>twins</x:v>
      </x:c>
      <x:c r="C66" s="26" t="n">
        <x:v>56</x:v>
      </x:c>
      <x:c r="D66" s="24" t="str">
        <x:v>Lot 07</x:v>
      </x:c>
      <x:c r="E66" s="25" t="str">
        <x:v>Personnes</x:v>
      </x:c>
      <x:c r="F66" s="24" t="str">
        <x:f>IF(AND(G66=8,COUNTIF(Q66:V66,"Atlas")=6),"Intégré","À faire")</x:f>
        <x:v>Intégré</x:v>
      </x:c>
      <x:c r="G66" s="27" t="n">
        <x:f>COUNTIF(I66:P66,"Présent")</x:f>
        <x:v>8</x:v>
      </x:c>
      <x:c r="H66" s="24" t="str">
        <x:v>Archive référencée</x:v>
      </x:c>
      <x:c r="I66" s="24" t="str">
        <x:v>Présent</x:v>
      </x:c>
      <x:c r="J66" s="24" t="str">
        <x:v>Présent</x:v>
      </x:c>
      <x:c r="K66" s="24" t="str">
        <x:v>Présent</x:v>
      </x:c>
      <x:c r="L66" s="24" t="str">
        <x:v>Présent</x:v>
      </x:c>
      <x:c r="M66" s="24" t="str">
        <x:v>Présent</x:v>
      </x:c>
      <x:c r="N66" s="24" t="str">
        <x:v>Présent</x:v>
      </x:c>
      <x:c r="O66" s="24" t="str">
        <x:v>Présent</x:v>
      </x:c>
      <x:c r="P66" s="24" t="str">
        <x:v>Présent</x:v>
      </x:c>
      <x:c r="Q66" s="24" t="str">
        <x:v>Atlas</x:v>
      </x:c>
      <x:c r="R66" s="24" t="str">
        <x:v>Atlas</x:v>
      </x:c>
      <x:c r="S66" s="24" t="str">
        <x:v>Atlas</x:v>
      </x:c>
      <x:c r="T66" s="24" t="str">
        <x:v>Atlas</x:v>
      </x:c>
      <x:c r="U66" s="24" t="str">
        <x:v>Atlas</x:v>
      </x:c>
      <x:c r="V66" s="24" t="str">
        <x:v>Atlas</x:v>
      </x:c>
      <x:c r="W66" s="24" t="str">
        <x:v>6/6 actuelles</x:v>
      </x:c>
      <x:c r="X66" s="24" t="str">
        <x:v>6/6 actuelles</x:v>
      </x:c>
      <x:c r="Y66" s="24" t="str">
        <x:v>Non consignée</x:v>
      </x:c>
      <x:c r="Z66" s="24" t="str">
        <x:v>Périmée (0/6)</x:v>
      </x:c>
      <x:c r="AA66" s="23" t="str">
        <x:v>Validation navigateur passée. Publication exacte en attente de Thanh.</x:v>
      </x:c>
      <x:c r="AB66" s="21" t="str">
        <x:v>674f752f62b3179c8a21300c7796024f5935efc1</x:v>
      </x:c>
      <x:c r="AC66" s="21" t="str">
        <x:v>En cours</x:v>
      </x:c>
    </x:row>
    <x:row r="67" ht="40" customHeight="1">
      <x:c r="A67" s="22" t="str">
        <x:v>Labyrinthe</x:v>
      </x:c>
      <x:c r="B67" s="22" t="str">
        <x:v>maze</x:v>
      </x:c>
      <x:c r="C67" s="26" t="n">
        <x:v>57</x:v>
      </x:c>
      <x:c r="D67" s="24" t="str">
        <x:v>Lot 07</x:v>
      </x:c>
      <x:c r="E67" s="25" t="str">
        <x:v>Lieux</x:v>
      </x:c>
      <x:c r="F67" s="24" t="str">
        <x:f>IF(AND(G67=8,COUNTIF(Q67:V67,"Atlas")=6),"Intégré","À faire")</x:f>
        <x:v>Intégré</x:v>
      </x:c>
      <x:c r="G67" s="27" t="n">
        <x:f>COUNTIF(I67:P67,"Présent")</x:f>
        <x:v>8</x:v>
      </x:c>
      <x:c r="H67" s="24" t="str">
        <x:v>Archive référencée</x:v>
      </x:c>
      <x:c r="I67" s="24" t="str">
        <x:v>Présent</x:v>
      </x:c>
      <x:c r="J67" s="24" t="str">
        <x:v>Présent</x:v>
      </x:c>
      <x:c r="K67" s="24" t="str">
        <x:v>Présent</x:v>
      </x:c>
      <x:c r="L67" s="24" t="str">
        <x:v>Présent</x:v>
      </x:c>
      <x:c r="M67" s="24" t="str">
        <x:v>Présent</x:v>
      </x:c>
      <x:c r="N67" s="24" t="str">
        <x:v>Présent</x:v>
      </x:c>
      <x:c r="O67" s="24" t="str">
        <x:v>Présent</x:v>
      </x:c>
      <x:c r="P67" s="24" t="str">
        <x:v>Présent</x:v>
      </x:c>
      <x:c r="Q67" s="24" t="str">
        <x:v>Atlas</x:v>
      </x:c>
      <x:c r="R67" s="24" t="str">
        <x:v>Atlas</x:v>
      </x:c>
      <x:c r="S67" s="24" t="str">
        <x:v>Atlas</x:v>
      </x:c>
      <x:c r="T67" s="24" t="str">
        <x:v>Atlas</x:v>
      </x:c>
      <x:c r="U67" s="24" t="str">
        <x:v>Atlas</x:v>
      </x:c>
      <x:c r="V67" s="24" t="str">
        <x:v>Atlas</x:v>
      </x:c>
      <x:c r="W67" s="24" t="str">
        <x:v>6/6 actuelles</x:v>
      </x:c>
      <x:c r="X67" s="24" t="str">
        <x:v>6/6 actuelles</x:v>
      </x:c>
      <x:c r="Y67" s="24" t="str">
        <x:v>Non consignée</x:v>
      </x:c>
      <x:c r="Z67" s="24" t="str">
        <x:v>Périmée (0/6)</x:v>
      </x:c>
      <x:c r="AA67" s="23" t="str">
        <x:v>Validation navigateur passée. Publication exacte en attente de Thanh.</x:v>
      </x:c>
      <x:c r="AB67" s="21" t="str">
        <x:v>674f752f62b3179c8a21300c7796024f5935efc1</x:v>
      </x:c>
      <x:c r="AC67" s="21" t="str">
        <x:v>En cours</x:v>
      </x:c>
    </x:row>
    <x:row r="68" ht="40" customHeight="1">
      <x:c r="A68" s="22" t="str">
        <x:v>Licorne</x:v>
      </x:c>
      <x:c r="B68" s="22" t="str">
        <x:v>unicorn</x:v>
      </x:c>
      <x:c r="C68" s="26" t="n">
        <x:v>58</x:v>
      </x:c>
      <x:c r="D68" s="24" t="str">
        <x:v>Lot 07</x:v>
      </x:c>
      <x:c r="E68" s="25" t="str">
        <x:v>Animaux</x:v>
      </x:c>
      <x:c r="F68" s="24" t="str">
        <x:f>IF(AND(G68=8,COUNTIF(Q68:V68,"Atlas")=6),"Intégré","À faire")</x:f>
        <x:v>Intégré</x:v>
      </x:c>
      <x:c r="G68" s="27" t="n">
        <x:f>COUNTIF(I68:P68,"Présent")</x:f>
        <x:v>8</x:v>
      </x:c>
      <x:c r="H68" s="24" t="str">
        <x:v>Archive référencée</x:v>
      </x:c>
      <x:c r="I68" s="24" t="str">
        <x:v>Présent</x:v>
      </x:c>
      <x:c r="J68" s="24" t="str">
        <x:v>Présent</x:v>
      </x:c>
      <x:c r="K68" s="24" t="str">
        <x:v>Présent</x:v>
      </x:c>
      <x:c r="L68" s="24" t="str">
        <x:v>Présent</x:v>
      </x:c>
      <x:c r="M68" s="24" t="str">
        <x:v>Présent</x:v>
      </x:c>
      <x:c r="N68" s="24" t="str">
        <x:v>Présent</x:v>
      </x:c>
      <x:c r="O68" s="24" t="str">
        <x:v>Présent</x:v>
      </x:c>
      <x:c r="P68" s="24" t="str">
        <x:v>Présent</x:v>
      </x:c>
      <x:c r="Q68" s="24" t="str">
        <x:v>Atlas</x:v>
      </x:c>
      <x:c r="R68" s="24" t="str">
        <x:v>Atlas</x:v>
      </x:c>
      <x:c r="S68" s="24" t="str">
        <x:v>Atlas</x:v>
      </x:c>
      <x:c r="T68" s="24" t="str">
        <x:v>Atlas</x:v>
      </x:c>
      <x:c r="U68" s="24" t="str">
        <x:v>Atlas</x:v>
      </x:c>
      <x:c r="V68" s="24" t="str">
        <x:v>Atlas</x:v>
      </x:c>
      <x:c r="W68" s="24" t="str">
        <x:v>6/6 actuelles</x:v>
      </x:c>
      <x:c r="X68" s="24" t="str">
        <x:v>6/6 actuelles</x:v>
      </x:c>
      <x:c r="Y68" s="24" t="str">
        <x:v>Non consignée</x:v>
      </x:c>
      <x:c r="Z68" s="24" t="str">
        <x:v>Périmée (0/6)</x:v>
      </x:c>
      <x:c r="AA68" s="23" t="str">
        <x:v>Validation navigateur passée. Publication exacte en attente de Thanh.</x:v>
      </x:c>
      <x:c r="AB68" s="21" t="str">
        <x:v>674f752f62b3179c8a21300c7796024f5935efc1</x:v>
      </x:c>
      <x:c r="AC68" s="21" t="str">
        <x:v>En cours</x:v>
      </x:c>
    </x:row>
    <x:row r="69" ht="40" customHeight="1">
      <x:c r="A69" s="22" t="str">
        <x:v>Lumière</x:v>
      </x:c>
      <x:c r="B69" s="22" t="str">
        <x:v>light</x:v>
      </x:c>
      <x:c r="C69" s="26" t="n">
        <x:v>59</x:v>
      </x:c>
      <x:c r="D69" s="24" t="str">
        <x:v>Lot 07</x:v>
      </x:c>
      <x:c r="E69" s="25" t="str">
        <x:v>Ciel</x:v>
      </x:c>
      <x:c r="F69" s="24" t="str">
        <x:f>IF(AND(G69=8,COUNTIF(Q69:V69,"Atlas")=6),"Intégré","À faire")</x:f>
        <x:v>Intégré</x:v>
      </x:c>
      <x:c r="G69" s="27" t="n">
        <x:f>COUNTIF(I69:P69,"Présent")</x:f>
        <x:v>8</x:v>
      </x:c>
      <x:c r="H69" s="24" t="str">
        <x:v>Archive référencée</x:v>
      </x:c>
      <x:c r="I69" s="24" t="str">
        <x:v>Présent</x:v>
      </x:c>
      <x:c r="J69" s="24" t="str">
        <x:v>Présent</x:v>
      </x:c>
      <x:c r="K69" s="24" t="str">
        <x:v>Présent</x:v>
      </x:c>
      <x:c r="L69" s="24" t="str">
        <x:v>Présent</x:v>
      </x:c>
      <x:c r="M69" s="24" t="str">
        <x:v>Présent</x:v>
      </x:c>
      <x:c r="N69" s="24" t="str">
        <x:v>Présent</x:v>
      </x:c>
      <x:c r="O69" s="24" t="str">
        <x:v>Présent</x:v>
      </x:c>
      <x:c r="P69" s="24" t="str">
        <x:v>Présent</x:v>
      </x:c>
      <x:c r="Q69" s="24" t="str">
        <x:v>Atlas</x:v>
      </x:c>
      <x:c r="R69" s="24" t="str">
        <x:v>Atlas</x:v>
      </x:c>
      <x:c r="S69" s="24" t="str">
        <x:v>Atlas</x:v>
      </x:c>
      <x:c r="T69" s="24" t="str">
        <x:v>Atlas</x:v>
      </x:c>
      <x:c r="U69" s="24" t="str">
        <x:v>Atlas</x:v>
      </x:c>
      <x:c r="V69" s="24" t="str">
        <x:v>Atlas</x:v>
      </x:c>
      <x:c r="W69" s="24" t="str">
        <x:v>6/6 actuelles</x:v>
      </x:c>
      <x:c r="X69" s="24" t="str">
        <x:v>6/6 actuelles</x:v>
      </x:c>
      <x:c r="Y69" s="24" t="str">
        <x:v>Non consignée</x:v>
      </x:c>
      <x:c r="Z69" s="24" t="str">
        <x:v>Périmée (0/6)</x:v>
      </x:c>
      <x:c r="AA69" s="23" t="str">
        <x:v>Validation navigateur passée. Publication exacte en attente de Thanh.</x:v>
      </x:c>
      <x:c r="AB69" s="21" t="str">
        <x:v>674f752f62b3179c8a21300c7796024f5935efc1</x:v>
      </x:c>
      <x:c r="AC69" s="21" t="str">
        <x:v>En cours</x:v>
      </x:c>
    </x:row>
    <x:row r="70" ht="40" customHeight="1">
      <x:c r="A70" s="22" t="str">
        <x:v>Méduse</x:v>
      </x:c>
      <x:c r="B70" s="22" t="str">
        <x:v>jellyfish</x:v>
      </x:c>
      <x:c r="C70" s="26" t="n">
        <x:v>60</x:v>
      </x:c>
      <x:c r="D70" s="24" t="str">
        <x:v>Lot 07</x:v>
      </x:c>
      <x:c r="E70" s="25" t="str">
        <x:v>Animaux</x:v>
      </x:c>
      <x:c r="F70" s="24" t="str">
        <x:f>IF(AND(G70=8,COUNTIF(Q70:V70,"Atlas")=6),"Intégré","À faire")</x:f>
        <x:v>Intégré</x:v>
      </x:c>
      <x:c r="G70" s="27" t="n">
        <x:f>COUNTIF(I70:P70,"Présent")</x:f>
        <x:v>8</x:v>
      </x:c>
      <x:c r="H70" s="24" t="str">
        <x:v>Archive référencée</x:v>
      </x:c>
      <x:c r="I70" s="24" t="str">
        <x:v>Présent</x:v>
      </x:c>
      <x:c r="J70" s="24" t="str">
        <x:v>Présent</x:v>
      </x:c>
      <x:c r="K70" s="24" t="str">
        <x:v>Présent</x:v>
      </x:c>
      <x:c r="L70" s="24" t="str">
        <x:v>Présent</x:v>
      </x:c>
      <x:c r="M70" s="24" t="str">
        <x:v>Présent</x:v>
      </x:c>
      <x:c r="N70" s="24" t="str">
        <x:v>Présent</x:v>
      </x:c>
      <x:c r="O70" s="24" t="str">
        <x:v>Présent</x:v>
      </x:c>
      <x:c r="P70" s="24" t="str">
        <x:v>Présent</x:v>
      </x:c>
      <x:c r="Q70" s="24" t="str">
        <x:v>Atlas</x:v>
      </x:c>
      <x:c r="R70" s="24" t="str">
        <x:v>Atlas</x:v>
      </x:c>
      <x:c r="S70" s="24" t="str">
        <x:v>Atlas</x:v>
      </x:c>
      <x:c r="T70" s="24" t="str">
        <x:v>Atlas</x:v>
      </x:c>
      <x:c r="U70" s="24" t="str">
        <x:v>Atlas</x:v>
      </x:c>
      <x:c r="V70" s="24" t="str">
        <x:v>Atlas</x:v>
      </x:c>
      <x:c r="W70" s="24" t="str">
        <x:v>6/6 actuelles</x:v>
      </x:c>
      <x:c r="X70" s="24" t="str">
        <x:v>6/6 actuelles</x:v>
      </x:c>
      <x:c r="Y70" s="24" t="str">
        <x:v>Non consignée</x:v>
      </x:c>
      <x:c r="Z70" s="24" t="str">
        <x:v>Périmée (0/6)</x:v>
      </x:c>
      <x:c r="AA70" s="23" t="str">
        <x:v>Validation navigateur passée. Publication exacte en attente de Thanh.</x:v>
      </x:c>
      <x:c r="AB70" s="21" t="str">
        <x:v>674f752f62b3179c8a21300c7796024f5935efc1</x:v>
      </x:c>
      <x:c r="AC70" s="21" t="str">
        <x:v>En cours</x:v>
      </x:c>
    </x:row>
    <x:row r="71" ht="40" customHeight="1">
      <x:c r="A71" s="22" t="str">
        <x:v>Mouche</x:v>
      </x:c>
      <x:c r="B71" s="22" t="str">
        <x:v>fly</x:v>
      </x:c>
      <x:c r="C71" s="26" t="n">
        <x:v>61</x:v>
      </x:c>
      <x:c r="D71" s="24" t="str">
        <x:v>Lot 07</x:v>
      </x:c>
      <x:c r="E71" s="25" t="str">
        <x:v>Animaux</x:v>
      </x:c>
      <x:c r="F71" s="24" t="str">
        <x:f>IF(AND(G71=8,COUNTIF(Q71:V71,"Atlas")=6),"Intégré","À faire")</x:f>
        <x:v>Intégré</x:v>
      </x:c>
      <x:c r="G71" s="27" t="n">
        <x:f>COUNTIF(I71:P71,"Présent")</x:f>
        <x:v>8</x:v>
      </x:c>
      <x:c r="H71" s="24" t="str">
        <x:v>Archive référencée</x:v>
      </x:c>
      <x:c r="I71" s="24" t="str">
        <x:v>Présent</x:v>
      </x:c>
      <x:c r="J71" s="24" t="str">
        <x:v>Présent</x:v>
      </x:c>
      <x:c r="K71" s="24" t="str">
        <x:v>Présent</x:v>
      </x:c>
      <x:c r="L71" s="24" t="str">
        <x:v>Présent</x:v>
      </x:c>
      <x:c r="M71" s="24" t="str">
        <x:v>Présent</x:v>
      </x:c>
      <x:c r="N71" s="24" t="str">
        <x:v>Présent</x:v>
      </x:c>
      <x:c r="O71" s="24" t="str">
        <x:v>Présent</x:v>
      </x:c>
      <x:c r="P71" s="24" t="str">
        <x:v>Présent</x:v>
      </x:c>
      <x:c r="Q71" s="24" t="str">
        <x:v>Atlas</x:v>
      </x:c>
      <x:c r="R71" s="24" t="str">
        <x:v>Atlas</x:v>
      </x:c>
      <x:c r="S71" s="24" t="str">
        <x:v>Atlas</x:v>
      </x:c>
      <x:c r="T71" s="24" t="str">
        <x:v>Atlas</x:v>
      </x:c>
      <x:c r="U71" s="24" t="str">
        <x:v>Atlas</x:v>
      </x:c>
      <x:c r="V71" s="24" t="str">
        <x:v>Atlas</x:v>
      </x:c>
      <x:c r="W71" s="24" t="str">
        <x:v>6/6 actuelles</x:v>
      </x:c>
      <x:c r="X71" s="24" t="str">
        <x:v>6/6 actuelles</x:v>
      </x:c>
      <x:c r="Y71" s="24" t="str">
        <x:v>Non consignée</x:v>
      </x:c>
      <x:c r="Z71" s="24" t="str">
        <x:v>Périmée (0/6)</x:v>
      </x:c>
      <x:c r="AA71" s="23" t="str">
        <x:v>Validation navigateur passée. Publication exacte en attente de Thanh.</x:v>
      </x:c>
      <x:c r="AB71" s="21" t="str">
        <x:v>674f752f62b3179c8a21300c7796024f5935efc1</x:v>
      </x:c>
      <x:c r="AC71" s="21" t="str">
        <x:v>En cours</x:v>
      </x:c>
    </x:row>
    <x:row r="72" ht="40" customHeight="1">
      <x:c r="A72" s="22" t="str">
        <x:v>Mur</x:v>
      </x:c>
      <x:c r="B72" s="22" t="str">
        <x:v>wall</x:v>
      </x:c>
      <x:c r="C72" s="26" t="n">
        <x:v>62</x:v>
      </x:c>
      <x:c r="D72" s="24" t="str">
        <x:v>Lot 07</x:v>
      </x:c>
      <x:c r="E72" s="25" t="str">
        <x:v>Lieux</x:v>
      </x:c>
      <x:c r="F72" s="24" t="str">
        <x:f>IF(AND(G72=8,COUNTIF(Q72:V72,"Atlas")=6),"Intégré","À faire")</x:f>
        <x:v>Intégré</x:v>
      </x:c>
      <x:c r="G72" s="27" t="n">
        <x:f>COUNTIF(I72:P72,"Présent")</x:f>
        <x:v>8</x:v>
      </x:c>
      <x:c r="H72" s="24" t="str">
        <x:v>Archive référencée</x:v>
      </x:c>
      <x:c r="I72" s="24" t="str">
        <x:v>Présent</x:v>
      </x:c>
      <x:c r="J72" s="24" t="str">
        <x:v>Présent</x:v>
      </x:c>
      <x:c r="K72" s="24" t="str">
        <x:v>Présent</x:v>
      </x:c>
      <x:c r="L72" s="24" t="str">
        <x:v>Présent</x:v>
      </x:c>
      <x:c r="M72" s="24" t="str">
        <x:v>Présent</x:v>
      </x:c>
      <x:c r="N72" s="24" t="str">
        <x:v>Présent</x:v>
      </x:c>
      <x:c r="O72" s="24" t="str">
        <x:v>Présent</x:v>
      </x:c>
      <x:c r="P72" s="24" t="str">
        <x:v>Présent</x:v>
      </x:c>
      <x:c r="Q72" s="24" t="str">
        <x:v>Atlas</x:v>
      </x:c>
      <x:c r="R72" s="24" t="str">
        <x:v>Atlas</x:v>
      </x:c>
      <x:c r="S72" s="24" t="str">
        <x:v>Atlas</x:v>
      </x:c>
      <x:c r="T72" s="24" t="str">
        <x:v>Atlas</x:v>
      </x:c>
      <x:c r="U72" s="24" t="str">
        <x:v>Atlas</x:v>
      </x:c>
      <x:c r="V72" s="24" t="str">
        <x:v>Atlas</x:v>
      </x:c>
      <x:c r="W72" s="24" t="str">
        <x:v>6/6 actuelles</x:v>
      </x:c>
      <x:c r="X72" s="24" t="str">
        <x:v>6/6 actuelles</x:v>
      </x:c>
      <x:c r="Y72" s="24" t="str">
        <x:v>Non consignée</x:v>
      </x:c>
      <x:c r="Z72" s="24" t="str">
        <x:v>Périmée (0/6)</x:v>
      </x:c>
      <x:c r="AA72" s="23" t="str">
        <x:v>Validation navigateur passée. Publication exacte en attente de Thanh.</x:v>
      </x:c>
      <x:c r="AB72" s="21" t="str">
        <x:v>674f752f62b3179c8a21300c7796024f5935efc1</x:v>
      </x:c>
      <x:c r="AC72" s="21" t="str">
        <x:v>En cours</x:v>
      </x:c>
    </x:row>
    <x:row r="73" ht="40" customHeight="1">
      <x:c r="A73" s="22" t="str">
        <x:v>Nuages</x:v>
      </x:c>
      <x:c r="B73" s="22" t="str">
        <x:v>clouds</x:v>
      </x:c>
      <x:c r="C73" s="26" t="n">
        <x:v>63</x:v>
      </x:c>
      <x:c r="D73" s="24" t="str">
        <x:v>Lot 07</x:v>
      </x:c>
      <x:c r="E73" s="25" t="str">
        <x:v>Ciel</x:v>
      </x:c>
      <x:c r="F73" s="24" t="str">
        <x:f>IF(AND(G73=8,COUNTIF(Q73:V73,"Atlas")=6),"Intégré","À faire")</x:f>
        <x:v>Intégré</x:v>
      </x:c>
      <x:c r="G73" s="27" t="n">
        <x:f>COUNTIF(I73:P73,"Présent")</x:f>
        <x:v>8</x:v>
      </x:c>
      <x:c r="H73" s="24" t="str">
        <x:v>Archive référencée</x:v>
      </x:c>
      <x:c r="I73" s="24" t="str">
        <x:v>Présent</x:v>
      </x:c>
      <x:c r="J73" s="24" t="str">
        <x:v>Présent</x:v>
      </x:c>
      <x:c r="K73" s="24" t="str">
        <x:v>Présent</x:v>
      </x:c>
      <x:c r="L73" s="24" t="str">
        <x:v>Présent</x:v>
      </x:c>
      <x:c r="M73" s="24" t="str">
        <x:v>Présent</x:v>
      </x:c>
      <x:c r="N73" s="24" t="str">
        <x:v>Présent</x:v>
      </x:c>
      <x:c r="O73" s="24" t="str">
        <x:v>Présent</x:v>
      </x:c>
      <x:c r="P73" s="24" t="str">
        <x:v>Présent</x:v>
      </x:c>
      <x:c r="Q73" s="24" t="str">
        <x:v>Atlas</x:v>
      </x:c>
      <x:c r="R73" s="24" t="str">
        <x:v>Atlas</x:v>
      </x:c>
      <x:c r="S73" s="24" t="str">
        <x:v>Atlas</x:v>
      </x:c>
      <x:c r="T73" s="24" t="str">
        <x:v>Atlas</x:v>
      </x:c>
      <x:c r="U73" s="24" t="str">
        <x:v>Atlas</x:v>
      </x:c>
      <x:c r="V73" s="24" t="str">
        <x:v>Atlas</x:v>
      </x:c>
      <x:c r="W73" s="24" t="str">
        <x:v>6/6 actuelles</x:v>
      </x:c>
      <x:c r="X73" s="24" t="str">
        <x:v>6/6 actuelles</x:v>
      </x:c>
      <x:c r="Y73" s="24" t="str">
        <x:v>Non consignée</x:v>
      </x:c>
      <x:c r="Z73" s="24" t="str">
        <x:v>Périmée (0/6)</x:v>
      </x:c>
      <x:c r="AA73" s="23" t="str">
        <x:v>Validation navigateur passée. Publication exacte en attente de Thanh.</x:v>
      </x:c>
      <x:c r="AB73" s="21" t="str">
        <x:v>674f752f62b3179c8a21300c7796024f5935efc1</x:v>
      </x:c>
      <x:c r="AC73" s="21" t="str">
        <x:v>En cours</x:v>
      </x:c>
    </x:row>
    <x:row r="74" ht="40" customHeight="1">
      <x:c r="A74" s="22" t="str">
        <x:v>Phare</x:v>
      </x:c>
      <x:c r="B74" s="22" t="str">
        <x:v>lighthouse</x:v>
      </x:c>
      <x:c r="C74" s="26" t="n">
        <x:v>64</x:v>
      </x:c>
      <x:c r="D74" s="24" t="str">
        <x:v>Lot 07</x:v>
      </x:c>
      <x:c r="E74" s="25" t="str">
        <x:v>Lieux</x:v>
      </x:c>
      <x:c r="F74" s="24" t="str">
        <x:f>IF(AND(G74=8,COUNTIF(Q74:V74,"Atlas")=6),"Intégré","À faire")</x:f>
        <x:v>Intégré</x:v>
      </x:c>
      <x:c r="G74" s="27" t="n">
        <x:f>COUNTIF(I74:P74,"Présent")</x:f>
        <x:v>8</x:v>
      </x:c>
      <x:c r="H74" s="24" t="str">
        <x:v>Archive référencée</x:v>
      </x:c>
      <x:c r="I74" s="24" t="str">
        <x:v>Présent</x:v>
      </x:c>
      <x:c r="J74" s="24" t="str">
        <x:v>Présent</x:v>
      </x:c>
      <x:c r="K74" s="24" t="str">
        <x:v>Présent</x:v>
      </x:c>
      <x:c r="L74" s="24" t="str">
        <x:v>Présent</x:v>
      </x:c>
      <x:c r="M74" s="24" t="str">
        <x:v>Présent</x:v>
      </x:c>
      <x:c r="N74" s="24" t="str">
        <x:v>Présent</x:v>
      </x:c>
      <x:c r="O74" s="24" t="str">
        <x:v>Présent</x:v>
      </x:c>
      <x:c r="P74" s="24" t="str">
        <x:v>Présent</x:v>
      </x:c>
      <x:c r="Q74" s="24" t="str">
        <x:v>Atlas</x:v>
      </x:c>
      <x:c r="R74" s="24" t="str">
        <x:v>Atlas</x:v>
      </x:c>
      <x:c r="S74" s="24" t="str">
        <x:v>Atlas</x:v>
      </x:c>
      <x:c r="T74" s="24" t="str">
        <x:v>Atlas</x:v>
      </x:c>
      <x:c r="U74" s="24" t="str">
        <x:v>Atlas</x:v>
      </x:c>
      <x:c r="V74" s="24" t="str">
        <x:v>Atlas</x:v>
      </x:c>
      <x:c r="W74" s="24" t="str">
        <x:v>6/6 actuelles</x:v>
      </x:c>
      <x:c r="X74" s="24" t="str">
        <x:v>6/6 actuelles</x:v>
      </x:c>
      <x:c r="Y74" s="24" t="str">
        <x:v>Non consignée</x:v>
      </x:c>
      <x:c r="Z74" s="24" t="str">
        <x:v>Périmée (0/6)</x:v>
      </x:c>
      <x:c r="AA74" s="23" t="str">
        <x:v>Validation navigateur passée. Publication exacte en attente de Thanh.</x:v>
      </x:c>
      <x:c r="AB74" s="21" t="str">
        <x:v>674f752f62b3179c8a21300c7796024f5935efc1</x:v>
      </x:c>
      <x:c r="AC74" s="21" t="str">
        <x:v>En cours</x:v>
      </x:c>
    </x:row>
    <x:row r="75" ht="40" customHeight="1">
      <x:c r="A75" s="22" t="str">
        <x:v>Pieuvre / Poulpe</x:v>
      </x:c>
      <x:c r="B75" s="22" t="str">
        <x:v>octopus</x:v>
      </x:c>
      <x:c r="C75" s="26" t="n">
        <x:v>65</x:v>
      </x:c>
      <x:c r="D75" s="24" t="str">
        <x:v>Lot 07</x:v>
      </x:c>
      <x:c r="E75" s="25" t="str">
        <x:v>Animaux</x:v>
      </x:c>
      <x:c r="F75" s="24" t="str">
        <x:f>IF(AND(G75=8,COUNTIF(Q75:V75,"Atlas")=6),"Intégré","À faire")</x:f>
        <x:v>Intégré</x:v>
      </x:c>
      <x:c r="G75" s="27" t="n">
        <x:f>COUNTIF(I75:P75,"Présent")</x:f>
        <x:v>8</x:v>
      </x:c>
      <x:c r="H75" s="24" t="str">
        <x:v>Archive référencée</x:v>
      </x:c>
      <x:c r="I75" s="24" t="str">
        <x:v>Présent</x:v>
      </x:c>
      <x:c r="J75" s="24" t="str">
        <x:v>Présent</x:v>
      </x:c>
      <x:c r="K75" s="24" t="str">
        <x:v>Présent</x:v>
      </x:c>
      <x:c r="L75" s="24" t="str">
        <x:v>Présent</x:v>
      </x:c>
      <x:c r="M75" s="24" t="str">
        <x:v>Présent</x:v>
      </x:c>
      <x:c r="N75" s="24" t="str">
        <x:v>Présent</x:v>
      </x:c>
      <x:c r="O75" s="24" t="str">
        <x:v>Présent</x:v>
      </x:c>
      <x:c r="P75" s="24" t="str">
        <x:v>Présent</x:v>
      </x:c>
      <x:c r="Q75" s="24" t="str">
        <x:v>Atlas</x:v>
      </x:c>
      <x:c r="R75" s="24" t="str">
        <x:v>Atlas</x:v>
      </x:c>
      <x:c r="S75" s="24" t="str">
        <x:v>Atlas</x:v>
      </x:c>
      <x:c r="T75" s="24" t="str">
        <x:v>Atlas</x:v>
      </x:c>
      <x:c r="U75" s="24" t="str">
        <x:v>Atlas</x:v>
      </x:c>
      <x:c r="V75" s="24" t="str">
        <x:v>Atlas</x:v>
      </x:c>
      <x:c r="W75" s="24" t="str">
        <x:v>6/6 actuelles</x:v>
      </x:c>
      <x:c r="X75" s="24" t="str">
        <x:v>6/6 actuelles</x:v>
      </x:c>
      <x:c r="Y75" s="24" t="str">
        <x:v>Non consignée</x:v>
      </x:c>
      <x:c r="Z75" s="24" t="str">
        <x:v>Périmée (0/6)</x:v>
      </x:c>
      <x:c r="AA75" s="23" t="str">
        <x:v>Validation navigateur passée. Publication exacte en attente de Thanh.</x:v>
      </x:c>
      <x:c r="AB75" s="21" t="str">
        <x:v>674f752f62b3179c8a21300c7796024f5935efc1</x:v>
      </x:c>
      <x:c r="AC75" s="21" t="str">
        <x:v>En cours</x:v>
      </x:c>
    </x:row>
    <x:row r="76" ht="40" customHeight="1">
      <x:c r="A76" s="22" t="str">
        <x:v>Renard</x:v>
      </x:c>
      <x:c r="B76" s="22" t="str">
        <x:v>fox</x:v>
      </x:c>
      <x:c r="C76" s="26" t="n">
        <x:v>66</x:v>
      </x:c>
      <x:c r="D76" s="24" t="str">
        <x:v>Lot 07</x:v>
      </x:c>
      <x:c r="E76" s="25" t="str">
        <x:v>Animaux</x:v>
      </x:c>
      <x:c r="F76" s="24" t="str">
        <x:f>IF(AND(G76=8,COUNTIF(Q76:V76,"Atlas")=6),"Intégré","À faire")</x:f>
        <x:v>Intégré</x:v>
      </x:c>
      <x:c r="G76" s="27" t="n">
        <x:f>COUNTIF(I76:P76,"Présent")</x:f>
        <x:v>8</x:v>
      </x:c>
      <x:c r="H76" s="24" t="str">
        <x:v>Archive référencée</x:v>
      </x:c>
      <x:c r="I76" s="24" t="str">
        <x:v>Présent</x:v>
      </x:c>
      <x:c r="J76" s="24" t="str">
        <x:v>Présent</x:v>
      </x:c>
      <x:c r="K76" s="24" t="str">
        <x:v>Présent</x:v>
      </x:c>
      <x:c r="L76" s="24" t="str">
        <x:v>Présent</x:v>
      </x:c>
      <x:c r="M76" s="24" t="str">
        <x:v>Présent</x:v>
      </x:c>
      <x:c r="N76" s="24" t="str">
        <x:v>Présent</x:v>
      </x:c>
      <x:c r="O76" s="24" t="str">
        <x:v>Présent</x:v>
      </x:c>
      <x:c r="P76" s="24" t="str">
        <x:v>Présent</x:v>
      </x:c>
      <x:c r="Q76" s="24" t="str">
        <x:v>Atlas</x:v>
      </x:c>
      <x:c r="R76" s="24" t="str">
        <x:v>Atlas</x:v>
      </x:c>
      <x:c r="S76" s="24" t="str">
        <x:v>Atlas</x:v>
      </x:c>
      <x:c r="T76" s="24" t="str">
        <x:v>Atlas</x:v>
      </x:c>
      <x:c r="U76" s="24" t="str">
        <x:v>Atlas</x:v>
      </x:c>
      <x:c r="V76" s="24" t="str">
        <x:v>Atlas</x:v>
      </x:c>
      <x:c r="W76" s="24" t="str">
        <x:v>6/6 actuelles</x:v>
      </x:c>
      <x:c r="X76" s="24" t="str">
        <x:v>6/6 actuelles</x:v>
      </x:c>
      <x:c r="Y76" s="24" t="str">
        <x:v>Non consignée</x:v>
      </x:c>
      <x:c r="Z76" s="24" t="str">
        <x:v>Périmée (0/6)</x:v>
      </x:c>
      <x:c r="AA76" s="23" t="str">
        <x:v>Validation navigateur passée. Publication exacte en attente de Thanh.</x:v>
      </x:c>
      <x:c r="AB76" s="21" t="str">
        <x:v>674f752f62b3179c8a21300c7796024f5935efc1</x:v>
      </x:c>
      <x:c r="AC76" s="21" t="str">
        <x:v>En cours</x:v>
      </x:c>
    </x:row>
    <x:row r="77" ht="40" customHeight="1">
      <x:c r="A77" s="22" t="str">
        <x:v>Roi / Reine</x:v>
      </x:c>
      <x:c r="B77" s="22" t="str">
        <x:v>royalty</x:v>
      </x:c>
      <x:c r="C77" s="26" t="n">
        <x:v>67</x:v>
      </x:c>
      <x:c r="D77" s="24" t="str">
        <x:v>Lot 07</x:v>
      </x:c>
      <x:c r="E77" s="25" t="str">
        <x:v>Personnes</x:v>
      </x:c>
      <x:c r="F77" s="24" t="str">
        <x:f>IF(AND(G77=8,COUNTIF(Q77:V77,"Atlas")=6),"Intégré","À faire")</x:f>
        <x:v>Intégré</x:v>
      </x:c>
      <x:c r="G77" s="27" t="n">
        <x:f>COUNTIF(I77:P77,"Présent")</x:f>
        <x:v>8</x:v>
      </x:c>
      <x:c r="H77" s="24" t="str">
        <x:v>Archive référencée</x:v>
      </x:c>
      <x:c r="I77" s="24" t="str">
        <x:v>Présent</x:v>
      </x:c>
      <x:c r="J77" s="24" t="str">
        <x:v>Présent</x:v>
      </x:c>
      <x:c r="K77" s="24" t="str">
        <x:v>Présent</x:v>
      </x:c>
      <x:c r="L77" s="24" t="str">
        <x:v>Présent</x:v>
      </x:c>
      <x:c r="M77" s="24" t="str">
        <x:v>Présent</x:v>
      </x:c>
      <x:c r="N77" s="24" t="str">
        <x:v>Présent</x:v>
      </x:c>
      <x:c r="O77" s="24" t="str">
        <x:v>Présent</x:v>
      </x:c>
      <x:c r="P77" s="24" t="str">
        <x:v>Présent</x:v>
      </x:c>
      <x:c r="Q77" s="24" t="str">
        <x:v>Atlas</x:v>
      </x:c>
      <x:c r="R77" s="24" t="str">
        <x:v>Atlas</x:v>
      </x:c>
      <x:c r="S77" s="24" t="str">
        <x:v>Atlas</x:v>
      </x:c>
      <x:c r="T77" s="24" t="str">
        <x:v>Atlas</x:v>
      </x:c>
      <x:c r="U77" s="24" t="str">
        <x:v>Atlas</x:v>
      </x:c>
      <x:c r="V77" s="24" t="str">
        <x:v>Atlas</x:v>
      </x:c>
      <x:c r="W77" s="24" t="str">
        <x:v>6/6 actuelles</x:v>
      </x:c>
      <x:c r="X77" s="24" t="str">
        <x:v>6/6 actuelles</x:v>
      </x:c>
      <x:c r="Y77" s="24" t="str">
        <x:v>Non consignée</x:v>
      </x:c>
      <x:c r="Z77" s="24" t="str">
        <x:v>Périmée (0/6)</x:v>
      </x:c>
      <x:c r="AA77" s="23" t="str">
        <x:v>Validation navigateur passée. Publication exacte en attente de Thanh.</x:v>
      </x:c>
      <x:c r="AB77" s="21" t="str">
        <x:v>674f752f62b3179c8a21300c7796024f5935efc1</x:v>
      </x:c>
      <x:c r="AC77" s="21" t="str">
        <x:v>En cours</x:v>
      </x:c>
    </x:row>
    <x:row r="78" ht="40" customHeight="1">
      <x:c r="A78" s="22" t="str">
        <x:v>Rue</x:v>
      </x:c>
      <x:c r="B78" s="22" t="str">
        <x:v>street</x:v>
      </x:c>
      <x:c r="C78" s="26" t="n">
        <x:v>68</x:v>
      </x:c>
      <x:c r="D78" s="24" t="str">
        <x:v>Lot 07</x:v>
      </x:c>
      <x:c r="E78" s="25" t="str">
        <x:v>Lieux</x:v>
      </x:c>
      <x:c r="F78" s="24" t="str">
        <x:f>IF(AND(G78=8,COUNTIF(Q78:V78,"Atlas")=6),"Intégré","À faire")</x:f>
        <x:v>Intégré</x:v>
      </x:c>
      <x:c r="G78" s="27" t="n">
        <x:f>COUNTIF(I78:P78,"Présent")</x:f>
        <x:v>8</x:v>
      </x:c>
      <x:c r="H78" s="24" t="str">
        <x:v>Archive référencée</x:v>
      </x:c>
      <x:c r="I78" s="24" t="str">
        <x:v>Présent</x:v>
      </x:c>
      <x:c r="J78" s="24" t="str">
        <x:v>Présent</x:v>
      </x:c>
      <x:c r="K78" s="24" t="str">
        <x:v>Présent</x:v>
      </x:c>
      <x:c r="L78" s="24" t="str">
        <x:v>Présent</x:v>
      </x:c>
      <x:c r="M78" s="24" t="str">
        <x:v>Présent</x:v>
      </x:c>
      <x:c r="N78" s="24" t="str">
        <x:v>Présent</x:v>
      </x:c>
      <x:c r="O78" s="24" t="str">
        <x:v>Présent</x:v>
      </x:c>
      <x:c r="P78" s="24" t="str">
        <x:v>Présent</x:v>
      </x:c>
      <x:c r="Q78" s="24" t="str">
        <x:v>Atlas</x:v>
      </x:c>
      <x:c r="R78" s="24" t="str">
        <x:v>Atlas</x:v>
      </x:c>
      <x:c r="S78" s="24" t="str">
        <x:v>Atlas</x:v>
      </x:c>
      <x:c r="T78" s="24" t="str">
        <x:v>Atlas</x:v>
      </x:c>
      <x:c r="U78" s="24" t="str">
        <x:v>Atlas</x:v>
      </x:c>
      <x:c r="V78" s="24" t="str">
        <x:v>Atlas</x:v>
      </x:c>
      <x:c r="W78" s="24" t="str">
        <x:v>6/6 actuelles</x:v>
      </x:c>
      <x:c r="X78" s="24" t="str">
        <x:v>6/6 actuelles</x:v>
      </x:c>
      <x:c r="Y78" s="24" t="str">
        <x:v>Non consignée</x:v>
      </x:c>
      <x:c r="Z78" s="24" t="str">
        <x:v>Périmée (0/6)</x:v>
      </x:c>
      <x:c r="AA78" s="23" t="str">
        <x:v>Validation navigateur passée. Publication exacte en attente de Thanh.</x:v>
      </x:c>
      <x:c r="AB78" s="21" t="str">
        <x:v>674f752f62b3179c8a21300c7796024f5935efc1</x:v>
      </x:c>
      <x:c r="AC78" s="21" t="str">
        <x:v>En cours</x:v>
      </x:c>
    </x:row>
    <x:row r="79" ht="40" customHeight="1">
      <x:c r="A79" s="22" t="str">
        <x:v>Rupture</x:v>
      </x:c>
      <x:c r="B79" s="22" t="str">
        <x:v>breakup</x:v>
      </x:c>
      <x:c r="C79" s="26" t="n">
        <x:v>69</x:v>
      </x:c>
      <x:c r="D79" s="24" t="str">
        <x:v>Lot 07</x:v>
      </x:c>
      <x:c r="E79" s="25" t="str">
        <x:v>Actions</x:v>
      </x:c>
      <x:c r="F79" s="24" t="str">
        <x:f>IF(AND(G79=8,COUNTIF(Q79:V79,"Atlas")=6),"Intégré","À faire")</x:f>
        <x:v>Intégré</x:v>
      </x:c>
      <x:c r="G79" s="27" t="n">
        <x:f>COUNTIF(I79:P79,"Présent")</x:f>
        <x:v>8</x:v>
      </x:c>
      <x:c r="H79" s="24" t="str">
        <x:v>Archive référencée</x:v>
      </x:c>
      <x:c r="I79" s="24" t="str">
        <x:v>Présent</x:v>
      </x:c>
      <x:c r="J79" s="24" t="str">
        <x:v>Présent</x:v>
      </x:c>
      <x:c r="K79" s="24" t="str">
        <x:v>Présent</x:v>
      </x:c>
      <x:c r="L79" s="24" t="str">
        <x:v>Présent</x:v>
      </x:c>
      <x:c r="M79" s="24" t="str">
        <x:v>Présent</x:v>
      </x:c>
      <x:c r="N79" s="24" t="str">
        <x:v>Présent</x:v>
      </x:c>
      <x:c r="O79" s="24" t="str">
        <x:v>Présent</x:v>
      </x:c>
      <x:c r="P79" s="24" t="str">
        <x:v>Présent</x:v>
      </x:c>
      <x:c r="Q79" s="24" t="str">
        <x:v>Atlas</x:v>
      </x:c>
      <x:c r="R79" s="24" t="str">
        <x:v>Atlas</x:v>
      </x:c>
      <x:c r="S79" s="24" t="str">
        <x:v>Atlas</x:v>
      </x:c>
      <x:c r="T79" s="24" t="str">
        <x:v>Atlas</x:v>
      </x:c>
      <x:c r="U79" s="24" t="str">
        <x:v>Atlas</x:v>
      </x:c>
      <x:c r="V79" s="24" t="str">
        <x:v>Atlas</x:v>
      </x:c>
      <x:c r="W79" s="24" t="str">
        <x:v>6/6 actuelles</x:v>
      </x:c>
      <x:c r="X79" s="24" t="str">
        <x:v>6/6 actuelles</x:v>
      </x:c>
      <x:c r="Y79" s="24" t="str">
        <x:v>Non consignée</x:v>
      </x:c>
      <x:c r="Z79" s="24" t="str">
        <x:v>Périmée (0/6)</x:v>
      </x:c>
      <x:c r="AA79" s="23" t="str">
        <x:v>Validation navigateur passée. Publication exacte en attente de Thanh.</x:v>
      </x:c>
      <x:c r="AB79" s="21" t="str">
        <x:v>674f752f62b3179c8a21300c7796024f5935efc1</x:v>
      </x:c>
      <x:c r="AC79" s="21" t="str">
        <x:v>En cours</x:v>
      </x:c>
    </x:row>
    <x:row r="80" ht="40" customHeight="1">
      <x:c r="A80" s="22" t="str">
        <x:v>Sac / Sac à main</x:v>
      </x:c>
      <x:c r="B80" s="22" t="str">
        <x:v>bag</x:v>
      </x:c>
      <x:c r="C80" s="26" t="n">
        <x:v>70</x:v>
      </x:c>
      <x:c r="D80" s="24" t="str">
        <x:v>Lot 07</x:v>
      </x:c>
      <x:c r="E80" s="25" t="str">
        <x:v>Objets</x:v>
      </x:c>
      <x:c r="F80" s="24" t="str">
        <x:f>IF(AND(G80=8,COUNTIF(Q80:V80,"Atlas")=6),"Intégré","À faire")</x:f>
        <x:v>Intégré</x:v>
      </x:c>
      <x:c r="G80" s="27" t="n">
        <x:f>COUNTIF(I80:P80,"Présent")</x:f>
        <x:v>8</x:v>
      </x:c>
      <x:c r="H80" s="24" t="str">
        <x:v>Archive référencée</x:v>
      </x:c>
      <x:c r="I80" s="24" t="str">
        <x:v>Présent</x:v>
      </x:c>
      <x:c r="J80" s="24" t="str">
        <x:v>Présent</x:v>
      </x:c>
      <x:c r="K80" s="24" t="str">
        <x:v>Présent</x:v>
      </x:c>
      <x:c r="L80" s="24" t="str">
        <x:v>Présent</x:v>
      </x:c>
      <x:c r="M80" s="24" t="str">
        <x:v>Présent</x:v>
      </x:c>
      <x:c r="N80" s="24" t="str">
        <x:v>Présent</x:v>
      </x:c>
      <x:c r="O80" s="24" t="str">
        <x:v>Présent</x:v>
      </x:c>
      <x:c r="P80" s="24" t="str">
        <x:v>Présent</x:v>
      </x:c>
      <x:c r="Q80" s="24" t="str">
        <x:v>Atlas</x:v>
      </x:c>
      <x:c r="R80" s="24" t="str">
        <x:v>Atlas</x:v>
      </x:c>
      <x:c r="S80" s="24" t="str">
        <x:v>Atlas</x:v>
      </x:c>
      <x:c r="T80" s="24" t="str">
        <x:v>Atlas</x:v>
      </x:c>
      <x:c r="U80" s="24" t="str">
        <x:v>Atlas</x:v>
      </x:c>
      <x:c r="V80" s="24" t="str">
        <x:v>Atlas</x:v>
      </x:c>
      <x:c r="W80" s="24" t="str">
        <x:v>6/6 actuelles</x:v>
      </x:c>
      <x:c r="X80" s="24" t="str">
        <x:v>6/6 actuelles</x:v>
      </x:c>
      <x:c r="Y80" s="24" t="str">
        <x:v>Non consignée</x:v>
      </x:c>
      <x:c r="Z80" s="24" t="str">
        <x:v>Périmée (0/6)</x:v>
      </x:c>
      <x:c r="AA80" s="23" t="str">
        <x:v>Validation navigateur passée. Publication exacte en attente de Thanh.</x:v>
      </x:c>
      <x:c r="AB80" s="21" t="str">
        <x:v>674f752f62b3179c8a21300c7796024f5935efc1</x:v>
      </x:c>
      <x:c r="AC80" s="21" t="str">
        <x:v>En cours</x:v>
      </x:c>
    </x:row>
    <x:row r="81" ht="40" customHeight="1">
      <x:c r="A81" s="22" t="str">
        <x:v>Tour</x:v>
      </x:c>
      <x:c r="B81" s="22" t="str">
        <x:v>tower</x:v>
      </x:c>
      <x:c r="C81" s="26" t="n">
        <x:v>71</x:v>
      </x:c>
      <x:c r="D81" s="24" t="str">
        <x:v>Lot 07</x:v>
      </x:c>
      <x:c r="E81" s="25" t="str">
        <x:v>Lieux</x:v>
      </x:c>
      <x:c r="F81" s="24" t="str">
        <x:f>IF(AND(G81=8,COUNTIF(Q81:V81,"Atlas")=6),"Intégré","À faire")</x:f>
        <x:v>Intégré</x:v>
      </x:c>
      <x:c r="G81" s="27" t="n">
        <x:f>COUNTIF(I81:P81,"Présent")</x:f>
        <x:v>8</x:v>
      </x:c>
      <x:c r="H81" s="24" t="str">
        <x:v>Archive référencée</x:v>
      </x:c>
      <x:c r="I81" s="24" t="str">
        <x:v>Présent</x:v>
      </x:c>
      <x:c r="J81" s="24" t="str">
        <x:v>Présent</x:v>
      </x:c>
      <x:c r="K81" s="24" t="str">
        <x:v>Présent</x:v>
      </x:c>
      <x:c r="L81" s="24" t="str">
        <x:v>Présent</x:v>
      </x:c>
      <x:c r="M81" s="24" t="str">
        <x:v>Présent</x:v>
      </x:c>
      <x:c r="N81" s="24" t="str">
        <x:v>Présent</x:v>
      </x:c>
      <x:c r="O81" s="24" t="str">
        <x:v>Présent</x:v>
      </x:c>
      <x:c r="P81" s="24" t="str">
        <x:v>Présent</x:v>
      </x:c>
      <x:c r="Q81" s="24" t="str">
        <x:v>Atlas</x:v>
      </x:c>
      <x:c r="R81" s="24" t="str">
        <x:v>Atlas</x:v>
      </x:c>
      <x:c r="S81" s="24" t="str">
        <x:v>Atlas</x:v>
      </x:c>
      <x:c r="T81" s="24" t="str">
        <x:v>Atlas</x:v>
      </x:c>
      <x:c r="U81" s="24" t="str">
        <x:v>Atlas</x:v>
      </x:c>
      <x:c r="V81" s="24" t="str">
        <x:v>Atlas</x:v>
      </x:c>
      <x:c r="W81" s="24" t="str">
        <x:v>6/6 actuelles</x:v>
      </x:c>
      <x:c r="X81" s="24" t="str">
        <x:v>6/6 actuelles</x:v>
      </x:c>
      <x:c r="Y81" s="24" t="str">
        <x:v>Non consignée</x:v>
      </x:c>
      <x:c r="Z81" s="24" t="str">
        <x:v>Périmée (0/6)</x:v>
      </x:c>
      <x:c r="AA81" s="23" t="str">
        <x:v>Validation navigateur passée. Publication exacte en attente de Thanh.</x:v>
      </x:c>
      <x:c r="AB81" s="21" t="str">
        <x:v>674f752f62b3179c8a21300c7796024f5935efc1</x:v>
      </x:c>
      <x:c r="AC81" s="21" t="str">
        <x:v>En cours</x:v>
      </x:c>
    </x:row>
    <x:row r="82" ht="40" customHeight="1">
      <x:c r="A82" s="22" t="str">
        <x:v>Tunnel</x:v>
      </x:c>
      <x:c r="B82" s="22" t="str">
        <x:v>tunnel</x:v>
      </x:c>
      <x:c r="C82" s="26" t="n">
        <x:v>72</x:v>
      </x:c>
      <x:c r="D82" s="24" t="str">
        <x:v>Lot 07</x:v>
      </x:c>
      <x:c r="E82" s="25" t="str">
        <x:v>Lieux</x:v>
      </x:c>
      <x:c r="F82" s="24" t="str">
        <x:f>IF(AND(G82=8,COUNTIF(Q82:V82,"Atlas")=6),"Intégré","À faire")</x:f>
        <x:v>Intégré</x:v>
      </x:c>
      <x:c r="G82" s="27" t="n">
        <x:f>COUNTIF(I82:P82,"Présent")</x:f>
        <x:v>8</x:v>
      </x:c>
      <x:c r="H82" s="24" t="str">
        <x:v>Archive référencée</x:v>
      </x:c>
      <x:c r="I82" s="24" t="str">
        <x:v>Présent</x:v>
      </x:c>
      <x:c r="J82" s="24" t="str">
        <x:v>Présent</x:v>
      </x:c>
      <x:c r="K82" s="24" t="str">
        <x:v>Présent</x:v>
      </x:c>
      <x:c r="L82" s="24" t="str">
        <x:v>Présent</x:v>
      </x:c>
      <x:c r="M82" s="24" t="str">
        <x:v>Présent</x:v>
      </x:c>
      <x:c r="N82" s="24" t="str">
        <x:v>Présent</x:v>
      </x:c>
      <x:c r="O82" s="24" t="str">
        <x:v>Présent</x:v>
      </x:c>
      <x:c r="P82" s="24" t="str">
        <x:v>Présent</x:v>
      </x:c>
      <x:c r="Q82" s="24" t="str">
        <x:v>Atlas</x:v>
      </x:c>
      <x:c r="R82" s="24" t="str">
        <x:v>Atlas</x:v>
      </x:c>
      <x:c r="S82" s="24" t="str">
        <x:v>Atlas</x:v>
      </x:c>
      <x:c r="T82" s="24" t="str">
        <x:v>Atlas</x:v>
      </x:c>
      <x:c r="U82" s="24" t="str">
        <x:v>Atlas</x:v>
      </x:c>
      <x:c r="V82" s="24" t="str">
        <x:v>Atlas</x:v>
      </x:c>
      <x:c r="W82" s="24" t="str">
        <x:v>6/6 actuelles</x:v>
      </x:c>
      <x:c r="X82" s="24" t="str">
        <x:v>6/6 actuelles</x:v>
      </x:c>
      <x:c r="Y82" s="24" t="str">
        <x:v>Non consignée</x:v>
      </x:c>
      <x:c r="Z82" s="24" t="str">
        <x:v>Périmée (0/6)</x:v>
      </x:c>
      <x:c r="AA82" s="23" t="str">
        <x:v>Validation navigateur passée. Publication exacte en attente de Thanh.</x:v>
      </x:c>
      <x:c r="AB82" s="21" t="str">
        <x:v>674f752f62b3179c8a21300c7796024f5935efc1</x:v>
      </x:c>
      <x:c r="AC82" s="21" t="str">
        <x:v>En cours</x:v>
      </x:c>
    </x:row>
    <x:row r="83" ht="40" customHeight="1">
      <x:c r="A83" s="22" t="str">
        <x:v>Vagues</x:v>
      </x:c>
      <x:c r="B83" s="22" t="str">
        <x:v>waves</x:v>
      </x:c>
      <x:c r="C83" s="26" t="n">
        <x:v>73</x:v>
      </x:c>
      <x:c r="D83" s="24" t="str">
        <x:v>Lot 07</x:v>
      </x:c>
      <x:c r="E83" s="25" t="str">
        <x:v>Nature</x:v>
      </x:c>
      <x:c r="F83" s="24" t="str">
        <x:f>IF(AND(G83=8,COUNTIF(Q83:V83,"Atlas")=6),"Intégré","À faire")</x:f>
        <x:v>Intégré</x:v>
      </x:c>
      <x:c r="G83" s="27" t="n">
        <x:f>COUNTIF(I83:P83,"Présent")</x:f>
        <x:v>8</x:v>
      </x:c>
      <x:c r="H83" s="24" t="str">
        <x:v>Archive référencée</x:v>
      </x:c>
      <x:c r="I83" s="24" t="str">
        <x:v>Présent</x:v>
      </x:c>
      <x:c r="J83" s="24" t="str">
        <x:v>Présent</x:v>
      </x:c>
      <x:c r="K83" s="24" t="str">
        <x:v>Présent</x:v>
      </x:c>
      <x:c r="L83" s="24" t="str">
        <x:v>Présent</x:v>
      </x:c>
      <x:c r="M83" s="24" t="str">
        <x:v>Présent</x:v>
      </x:c>
      <x:c r="N83" s="24" t="str">
        <x:v>Présent</x:v>
      </x:c>
      <x:c r="O83" s="24" t="str">
        <x:v>Présent</x:v>
      </x:c>
      <x:c r="P83" s="24" t="str">
        <x:v>Présent</x:v>
      </x:c>
      <x:c r="Q83" s="24" t="str">
        <x:v>Atlas</x:v>
      </x:c>
      <x:c r="R83" s="24" t="str">
        <x:v>Atlas</x:v>
      </x:c>
      <x:c r="S83" s="24" t="str">
        <x:v>Atlas</x:v>
      </x:c>
      <x:c r="T83" s="24" t="str">
        <x:v>Atlas</x:v>
      </x:c>
      <x:c r="U83" s="24" t="str">
        <x:v>Atlas</x:v>
      </x:c>
      <x:c r="V83" s="24" t="str">
        <x:v>Atlas</x:v>
      </x:c>
      <x:c r="W83" s="24" t="str">
        <x:v>6/6 actuelles</x:v>
      </x:c>
      <x:c r="X83" s="24" t="str">
        <x:v>6/6 actuelles</x:v>
      </x:c>
      <x:c r="Y83" s="24" t="str">
        <x:v>Non consignée</x:v>
      </x:c>
      <x:c r="Z83" s="24" t="str">
        <x:v>Périmée (0/6)</x:v>
      </x:c>
      <x:c r="AA83" s="23" t="str">
        <x:v>Validation navigateur passée. Publication exacte en attente de Thanh.</x:v>
      </x:c>
      <x:c r="AB83" s="21" t="str">
        <x:v>674f752f62b3179c8a21300c7796024f5935efc1</x:v>
      </x:c>
      <x:c r="AC83" s="21" t="str">
        <x:v>En cours</x:v>
      </x:c>
    </x:row>
    <x:row r="84" ht="40" customHeight="1">
      <x:c r="A84" s="22" t="str">
        <x:v>Vent</x:v>
      </x:c>
      <x:c r="B84" s="22" t="str">
        <x:v>wind</x:v>
      </x:c>
      <x:c r="C84" s="26" t="n">
        <x:v>74</x:v>
      </x:c>
      <x:c r="D84" s="24" t="str">
        <x:v>Lot 07</x:v>
      </x:c>
      <x:c r="E84" s="25" t="str">
        <x:v>Nature</x:v>
      </x:c>
      <x:c r="F84" s="24" t="str">
        <x:f>IF(AND(G84=8,COUNTIF(Q84:V84,"Atlas")=6),"Intégré","À faire")</x:f>
        <x:v>Intégré</x:v>
      </x:c>
      <x:c r="G84" s="27" t="n">
        <x:f>COUNTIF(I84:P84,"Présent")</x:f>
        <x:v>8</x:v>
      </x:c>
      <x:c r="H84" s="24" t="str">
        <x:v>Archive référencée</x:v>
      </x:c>
      <x:c r="I84" s="24" t="str">
        <x:v>Présent</x:v>
      </x:c>
      <x:c r="J84" s="24" t="str">
        <x:v>Présent</x:v>
      </x:c>
      <x:c r="K84" s="24" t="str">
        <x:v>Présent</x:v>
      </x:c>
      <x:c r="L84" s="24" t="str">
        <x:v>Présent</x:v>
      </x:c>
      <x:c r="M84" s="24" t="str">
        <x:v>Présent</x:v>
      </x:c>
      <x:c r="N84" s="24" t="str">
        <x:v>Présent</x:v>
      </x:c>
      <x:c r="O84" s="24" t="str">
        <x:v>Présent</x:v>
      </x:c>
      <x:c r="P84" s="24" t="str">
        <x:v>Présent</x:v>
      </x:c>
      <x:c r="Q84" s="24" t="str">
        <x:v>Atlas</x:v>
      </x:c>
      <x:c r="R84" s="24" t="str">
        <x:v>Atlas</x:v>
      </x:c>
      <x:c r="S84" s="24" t="str">
        <x:v>Atlas</x:v>
      </x:c>
      <x:c r="T84" s="24" t="str">
        <x:v>Atlas</x:v>
      </x:c>
      <x:c r="U84" s="24" t="str">
        <x:v>Atlas</x:v>
      </x:c>
      <x:c r="V84" s="24" t="str">
        <x:v>Atlas</x:v>
      </x:c>
      <x:c r="W84" s="24" t="str">
        <x:v>6/6 actuelles</x:v>
      </x:c>
      <x:c r="X84" s="24" t="str">
        <x:v>6/6 actuelles</x:v>
      </x:c>
      <x:c r="Y84" s="24" t="str">
        <x:v>Non consignée</x:v>
      </x:c>
      <x:c r="Z84" s="24" t="str">
        <x:v>Périmée (0/6)</x:v>
      </x:c>
      <x:c r="AA84" s="23" t="str">
        <x:v>Validation navigateur passée. Publication exacte en attente de Thanh.</x:v>
      </x:c>
      <x:c r="AB84" s="21" t="str">
        <x:v>674f752f62b3179c8a21300c7796024f5935efc1</x:v>
      </x:c>
      <x:c r="AC84" s="21" t="str">
        <x:v>En cours</x:v>
      </x:c>
    </x:row>
    <x:row r="85" ht="40" customHeight="1">
      <x:c r="A85" s="22" t="str">
        <x:v>Verre brisé</x:v>
      </x:c>
      <x:c r="B85" s="22" t="str">
        <x:v>broken-glass</x:v>
      </x:c>
      <x:c r="C85" s="26" t="n">
        <x:v>75</x:v>
      </x:c>
      <x:c r="D85" s="24" t="str">
        <x:v>Lot 07</x:v>
      </x:c>
      <x:c r="E85" s="25" t="str">
        <x:v>Objets</x:v>
      </x:c>
      <x:c r="F85" s="24" t="str">
        <x:f>IF(AND(G85=8,COUNTIF(Q85:V85,"Atlas")=6),"Intégré","À faire")</x:f>
        <x:v>Intégré</x:v>
      </x:c>
      <x:c r="G85" s="27" t="n">
        <x:f>COUNTIF(I85:P85,"Présent")</x:f>
        <x:v>8</x:v>
      </x:c>
      <x:c r="H85" s="24" t="str">
        <x:v>Archive référencée</x:v>
      </x:c>
      <x:c r="I85" s="24" t="str">
        <x:v>Présent</x:v>
      </x:c>
      <x:c r="J85" s="24" t="str">
        <x:v>Présent</x:v>
      </x:c>
      <x:c r="K85" s="24" t="str">
        <x:v>Présent</x:v>
      </x:c>
      <x:c r="L85" s="24" t="str">
        <x:v>Présent</x:v>
      </x:c>
      <x:c r="M85" s="24" t="str">
        <x:v>Présent</x:v>
      </x:c>
      <x:c r="N85" s="24" t="str">
        <x:v>Présent</x:v>
      </x:c>
      <x:c r="O85" s="24" t="str">
        <x:v>Présent</x:v>
      </x:c>
      <x:c r="P85" s="24" t="str">
        <x:v>Présent</x:v>
      </x:c>
      <x:c r="Q85" s="24" t="str">
        <x:v>Atlas</x:v>
      </x:c>
      <x:c r="R85" s="24" t="str">
        <x:v>Atlas</x:v>
      </x:c>
      <x:c r="S85" s="24" t="str">
        <x:v>Atlas</x:v>
      </x:c>
      <x:c r="T85" s="24" t="str">
        <x:v>Atlas</x:v>
      </x:c>
      <x:c r="U85" s="24" t="str">
        <x:v>Atlas</x:v>
      </x:c>
      <x:c r="V85" s="24" t="str">
        <x:v>Atlas</x:v>
      </x:c>
      <x:c r="W85" s="24" t="str">
        <x:v>6/6 actuelles</x:v>
      </x:c>
      <x:c r="X85" s="24" t="str">
        <x:v>6/6 actuelles</x:v>
      </x:c>
      <x:c r="Y85" s="24" t="str">
        <x:v>Non consignée</x:v>
      </x:c>
      <x:c r="Z85" s="24" t="str">
        <x:v>Périmée (0/6)</x:v>
      </x:c>
      <x:c r="AA85" s="23" t="str">
        <x:v>Validation navigateur passée. Publication exacte en attente de Thanh.</x:v>
      </x:c>
      <x:c r="AB85" s="21" t="str">
        <x:v>674f752f62b3179c8a21300c7796024f5935efc1</x:v>
      </x:c>
      <x:c r="AC85" s="21" t="str">
        <x:v>En cours</x:v>
      </x:c>
    </x:row>
    <x:row r="86" ht="40" customHeight="1">
      <x:c r="A86" s="22" t="str">
        <x:v>Ville</x:v>
      </x:c>
      <x:c r="B86" s="22" t="str">
        <x:v>city</x:v>
      </x:c>
      <x:c r="C86" s="26" t="n">
        <x:v>76</x:v>
      </x:c>
      <x:c r="D86" s="24" t="str">
        <x:v>Lot 07</x:v>
      </x:c>
      <x:c r="E86" s="25" t="str">
        <x:v>Lieux</x:v>
      </x:c>
      <x:c r="F86" s="24" t="str">
        <x:f>IF(AND(G86=8,COUNTIF(Q86:V86,"Atlas")=6),"Intégré","À faire")</x:f>
        <x:v>Intégré</x:v>
      </x:c>
      <x:c r="G86" s="27" t="n">
        <x:f>COUNTIF(I86:P86,"Présent")</x:f>
        <x:v>8</x:v>
      </x:c>
      <x:c r="H86" s="24" t="str">
        <x:v>Archive référencée</x:v>
      </x:c>
      <x:c r="I86" s="24" t="str">
        <x:v>Présent</x:v>
      </x:c>
      <x:c r="J86" s="24" t="str">
        <x:v>Présent</x:v>
      </x:c>
      <x:c r="K86" s="24" t="str">
        <x:v>Présent</x:v>
      </x:c>
      <x:c r="L86" s="24" t="str">
        <x:v>Présent</x:v>
      </x:c>
      <x:c r="M86" s="24" t="str">
        <x:v>Présent</x:v>
      </x:c>
      <x:c r="N86" s="24" t="str">
        <x:v>Présent</x:v>
      </x:c>
      <x:c r="O86" s="24" t="str">
        <x:v>Présent</x:v>
      </x:c>
      <x:c r="P86" s="24" t="str">
        <x:v>Présent</x:v>
      </x:c>
      <x:c r="Q86" s="24" t="str">
        <x:v>Atlas</x:v>
      </x:c>
      <x:c r="R86" s="24" t="str">
        <x:v>Atlas</x:v>
      </x:c>
      <x:c r="S86" s="24" t="str">
        <x:v>Atlas</x:v>
      </x:c>
      <x:c r="T86" s="24" t="str">
        <x:v>Atlas</x:v>
      </x:c>
      <x:c r="U86" s="24" t="str">
        <x:v>Atlas</x:v>
      </x:c>
      <x:c r="V86" s="24" t="str">
        <x:v>Atlas</x:v>
      </x:c>
      <x:c r="W86" s="24" t="str">
        <x:v>6/6 actuelles</x:v>
      </x:c>
      <x:c r="X86" s="24" t="str">
        <x:v>6/6 actuelles</x:v>
      </x:c>
      <x:c r="Y86" s="24" t="str">
        <x:v>Non consignée</x:v>
      </x:c>
      <x:c r="Z86" s="24" t="str">
        <x:v>Périmée (0/6)</x:v>
      </x:c>
      <x:c r="AA86" s="23" t="str">
        <x:v>Validation navigateur passée. Publication exacte en attente de Thanh.</x:v>
      </x:c>
      <x:c r="AB86" s="21" t="str">
        <x:v>674f752f62b3179c8a21300c7796024f5935efc1</x:v>
      </x:c>
      <x:c r="AC86" s="21" t="str">
        <x:v>En cours</x:v>
      </x:c>
    </x:row>
    <x:row r="87" ht="40" customHeight="1">
      <x:c r="A87" s="22" t="str">
        <x:v>Voisin</x:v>
      </x:c>
      <x:c r="B87" s="22" t="str">
        <x:v>neighbor</x:v>
      </x:c>
      <x:c r="C87" s="26" t="n">
        <x:v>77</x:v>
      </x:c>
      <x:c r="D87" s="24" t="str">
        <x:v>Lot 07</x:v>
      </x:c>
      <x:c r="E87" s="25" t="str">
        <x:v>Personnes</x:v>
      </x:c>
      <x:c r="F87" s="24" t="str">
        <x:f>IF(AND(G87=8,COUNTIF(Q87:V87,"Atlas")=6),"Intégré","À faire")</x:f>
        <x:v>Intégré</x:v>
      </x:c>
      <x:c r="G87" s="27" t="n">
        <x:f>COUNTIF(I87:P87,"Présent")</x:f>
        <x:v>8</x:v>
      </x:c>
      <x:c r="H87" s="24" t="str">
        <x:v>Archive référencée</x:v>
      </x:c>
      <x:c r="I87" s="24" t="str">
        <x:v>Présent</x:v>
      </x:c>
      <x:c r="J87" s="24" t="str">
        <x:v>Présent</x:v>
      </x:c>
      <x:c r="K87" s="24" t="str">
        <x:v>Présent</x:v>
      </x:c>
      <x:c r="L87" s="24" t="str">
        <x:v>Présent</x:v>
      </x:c>
      <x:c r="M87" s="24" t="str">
        <x:v>Présent</x:v>
      </x:c>
      <x:c r="N87" s="24" t="str">
        <x:v>Présent</x:v>
      </x:c>
      <x:c r="O87" s="24" t="str">
        <x:v>Présent</x:v>
      </x:c>
      <x:c r="P87" s="24" t="str">
        <x:v>Présent</x:v>
      </x:c>
      <x:c r="Q87" s="24" t="str">
        <x:v>Atlas</x:v>
      </x:c>
      <x:c r="R87" s="24" t="str">
        <x:v>Atlas</x:v>
      </x:c>
      <x:c r="S87" s="24" t="str">
        <x:v>Atlas</x:v>
      </x:c>
      <x:c r="T87" s="24" t="str">
        <x:v>Atlas</x:v>
      </x:c>
      <x:c r="U87" s="24" t="str">
        <x:v>Atlas</x:v>
      </x:c>
      <x:c r="V87" s="24" t="str">
        <x:v>Atlas</x:v>
      </x:c>
      <x:c r="W87" s="24" t="str">
        <x:v>6/6 actuelles</x:v>
      </x:c>
      <x:c r="X87" s="24" t="str">
        <x:v>6/6 actuelles</x:v>
      </x:c>
      <x:c r="Y87" s="24" t="str">
        <x:v>Non consignée</x:v>
      </x:c>
      <x:c r="Z87" s="24" t="str">
        <x:v>Périmée (0/6)</x:v>
      </x:c>
      <x:c r="AA87" s="23" t="str">
        <x:v>Validation navigateur passée. Publication exacte en attente de Thanh.</x:v>
      </x:c>
      <x:c r="AB87" s="21" t="str">
        <x:v>674f752f62b3179c8a21300c7796024f5935efc1</x:v>
      </x:c>
      <x:c r="AC87" s="21" t="str">
        <x:v>En cours</x:v>
      </x:c>
    </x:row>
    <x:row r="88" ht="40" customHeight="1">
      <x:c r="A88" s="22" t="str">
        <x:v>Voleur / Cambrioleur</x:v>
      </x:c>
      <x:c r="B88" s="22" t="str">
        <x:v>burglar</x:v>
      </x:c>
      <x:c r="C88" s="26" t="n">
        <x:v>78</x:v>
      </x:c>
      <x:c r="D88" s="24" t="str">
        <x:v>Lot 07</x:v>
      </x:c>
      <x:c r="E88" s="25" t="str">
        <x:v>Personnes</x:v>
      </x:c>
      <x:c r="F88" s="24" t="str">
        <x:f>IF(AND(G88=8,COUNTIF(Q88:V88,"Atlas")=6),"Intégré","À faire")</x:f>
        <x:v>Intégré</x:v>
      </x:c>
      <x:c r="G88" s="27" t="n">
        <x:f>COUNTIF(I88:P88,"Présent")</x:f>
        <x:v>8</x:v>
      </x:c>
      <x:c r="H88" s="24" t="str">
        <x:v>Archive référencée</x:v>
      </x:c>
      <x:c r="I88" s="24" t="str">
        <x:v>Présent</x:v>
      </x:c>
      <x:c r="J88" s="24" t="str">
        <x:v>Présent</x:v>
      </x:c>
      <x:c r="K88" s="24" t="str">
        <x:v>Présent</x:v>
      </x:c>
      <x:c r="L88" s="24" t="str">
        <x:v>Présent</x:v>
      </x:c>
      <x:c r="M88" s="24" t="str">
        <x:v>Présent</x:v>
      </x:c>
      <x:c r="N88" s="24" t="str">
        <x:v>Présent</x:v>
      </x:c>
      <x:c r="O88" s="24" t="str">
        <x:v>Présent</x:v>
      </x:c>
      <x:c r="P88" s="24" t="str">
        <x:v>Présent</x:v>
      </x:c>
      <x:c r="Q88" s="24" t="str">
        <x:v>Atlas</x:v>
      </x:c>
      <x:c r="R88" s="24" t="str">
        <x:v>Atlas</x:v>
      </x:c>
      <x:c r="S88" s="24" t="str">
        <x:v>Atlas</x:v>
      </x:c>
      <x:c r="T88" s="24" t="str">
        <x:v>Atlas</x:v>
      </x:c>
      <x:c r="U88" s="24" t="str">
        <x:v>Atlas</x:v>
      </x:c>
      <x:c r="V88" s="24" t="str">
        <x:v>Atlas</x:v>
      </x:c>
      <x:c r="W88" s="24" t="str">
        <x:v>6/6 actuelles</x:v>
      </x:c>
      <x:c r="X88" s="24" t="str">
        <x:v>6/6 actuelles</x:v>
      </x:c>
      <x:c r="Y88" s="24" t="str">
        <x:v>Non consignée</x:v>
      </x:c>
      <x:c r="Z88" s="24" t="str">
        <x:v>Périmée (0/6)</x:v>
      </x:c>
      <x:c r="AA88" s="23" t="str">
        <x:v>Validation navigateur passée. Publication exacte en attente de Thanh.</x:v>
      </x:c>
      <x:c r="AB88" s="21" t="str">
        <x:v>674f752f62b3179c8a21300c7796024f5935efc1</x:v>
      </x:c>
      <x:c r="AC88" s="21" t="str">
        <x:v>En cours</x:v>
      </x:c>
    </x:row>
    <x:row r="89" ht="40" customHeight="1">
      <x:c r="A89" s="22" t="str">
        <x:v>Abandon</x:v>
      </x:c>
      <x:c r="B89" s="22" t="str">
        <x:v>abandonment</x:v>
      </x:c>
      <x:c r="C89" s="26" t="n">
        <x:v>79</x:v>
      </x:c>
      <x:c r="D89" s="24" t="str">
        <x:v>Lot 10</x:v>
      </x:c>
      <x:c r="E89" s="25" t="str">
        <x:v>Actions</x:v>
      </x:c>
      <x:c r="F89" s="24" t="str">
        <x:f>IF(AND(G89=8,COUNTIF(Q89:V89,"Atlas")=6),"Intégré","À faire")</x:f>
        <x:v>Intégré</x:v>
      </x:c>
      <x:c r="G89" s="27" t="n">
        <x:f>COUNTIF(I89:P89,"Présent")</x:f>
        <x:v>8</x:v>
      </x:c>
      <x:c r="H89" s="24" t="str">
        <x:v>Archivé Drive</x:v>
      </x:c>
      <x:c r="I89" s="24" t="str">
        <x:v>Présent</x:v>
      </x:c>
      <x:c r="J89" s="24" t="str">
        <x:v>Présent</x:v>
      </x:c>
      <x:c r="K89" s="24" t="str">
        <x:v>Présent</x:v>
      </x:c>
      <x:c r="L89" s="24" t="str">
        <x:v>Présent</x:v>
      </x:c>
      <x:c r="M89" s="24" t="str">
        <x:v>Présent</x:v>
      </x:c>
      <x:c r="N89" s="24" t="str">
        <x:v>Présent</x:v>
      </x:c>
      <x:c r="O89" s="24" t="str">
        <x:v>Présent</x:v>
      </x:c>
      <x:c r="P89" s="24" t="str">
        <x:v>Présent</x:v>
      </x:c>
      <x:c r="Q89" s="24" t="str">
        <x:v>Atlas</x:v>
      </x:c>
      <x:c r="R89" s="24" t="str">
        <x:v>Atlas</x:v>
      </x:c>
      <x:c r="S89" s="24" t="str">
        <x:v>Atlas</x:v>
      </x:c>
      <x:c r="T89" s="24" t="str">
        <x:v>Atlas</x:v>
      </x:c>
      <x:c r="U89" s="24" t="str">
        <x:v>Atlas</x:v>
      </x:c>
      <x:c r="V89" s="24" t="str">
        <x:v>Atlas</x:v>
      </x:c>
      <x:c r="W89" s="24" t="str">
        <x:v>6/6 actuelles</x:v>
      </x:c>
      <x:c r="X89" s="24" t="str">
        <x:v>6/6 actuelles</x:v>
      </x:c>
      <x:c r="Y89" s="24" t="str">
        <x:v>Non consignée</x:v>
      </x:c>
      <x:c r="Z89" s="24" t="str">
        <x:v>Périmée (0/6)</x:v>
      </x:c>
      <x:c r="AA89" s="23" t="str">
        <x:v>Validation navigateur passée. Publication exacte en attente de Thanh.</x:v>
      </x:c>
      <x:c r="AB89" s="21" t="str">
        <x:v>674f752f62b3179c8a21300c7796024f5935efc1</x:v>
      </x:c>
      <x:c r="AC89" s="21" t="str">
        <x:v>En cours</x:v>
      </x:c>
    </x:row>
    <x:row r="90" ht="40" customHeight="1">
      <x:c r="A90" s="22" t="str">
        <x:v>Abeille</x:v>
      </x:c>
      <x:c r="B90" s="22" t="str">
        <x:v>bee</x:v>
      </x:c>
      <x:c r="C90" s="26" t="n">
        <x:v>80</x:v>
      </x:c>
      <x:c r="D90" s="24" t="str">
        <x:v>Lot 12 (master)</x:v>
      </x:c>
      <x:c r="E90" s="25" t="str">
        <x:v>Animaux</x:v>
      </x:c>
      <x:c r="F90" s="24" t="str">
        <x:f>IF(AND(G90=8,COUNTIF(Q90:V90,"Atlas")=6),"Intégré","À faire")</x:f>
        <x:v>Intégré</x:v>
      </x:c>
      <x:c r="G90" s="27" t="n">
        <x:f>COUNTIF(I90:P90,"Présent")</x:f>
        <x:v>8</x:v>
      </x:c>
      <x:c r="H90" s="24" t="str">
        <x:v>Archive Drive</x:v>
      </x:c>
      <x:c r="I90" s="24" t="str">
        <x:v>Présent</x:v>
      </x:c>
      <x:c r="J90" s="24" t="str">
        <x:v>Présent</x:v>
      </x:c>
      <x:c r="K90" s="24" t="str">
        <x:v>Présent</x:v>
      </x:c>
      <x:c r="L90" s="24" t="str">
        <x:v>Présent</x:v>
      </x:c>
      <x:c r="M90" s="24" t="str">
        <x:v>Présent</x:v>
      </x:c>
      <x:c r="N90" s="24" t="str">
        <x:v>Présent</x:v>
      </x:c>
      <x:c r="O90" s="24" t="str">
        <x:v>Présent</x:v>
      </x:c>
      <x:c r="P90" s="24" t="str">
        <x:v>Présent</x:v>
      </x:c>
      <x:c r="Q90" s="24" t="str">
        <x:v>Atlas</x:v>
      </x:c>
      <x:c r="R90" s="24" t="str">
        <x:v>Atlas</x:v>
      </x:c>
      <x:c r="S90" s="24" t="str">
        <x:v>Atlas</x:v>
      </x:c>
      <x:c r="T90" s="24" t="str">
        <x:v>Atlas</x:v>
      </x:c>
      <x:c r="U90" s="24" t="str">
        <x:v>Atlas</x:v>
      </x:c>
      <x:c r="V90" s="24" t="str">
        <x:v>Atlas</x:v>
      </x:c>
      <x:c r="W90" s="24" t="str">
        <x:v>6/6 actuelles</x:v>
      </x:c>
      <x:c r="X90" s="24" t="str">
        <x:v>6/6 actuelles</x:v>
      </x:c>
      <x:c r="Y90" s="24" t="str">
        <x:v>Non consignée</x:v>
      </x:c>
      <x:c r="Z90" s="24" t="str">
        <x:v>Périmée (0/6)</x:v>
      </x:c>
      <x:c r="AA90" s="23" t="str">
        <x:v>Validation navigateur passée. Publication exacte en attente de Thanh.</x:v>
      </x:c>
      <x:c r="AB90" s="21" t="str">
        <x:v>674f752f62b3179c8a21300c7796024f5935efc1</x:v>
      </x:c>
      <x:c r="AC90" s="21" t="str">
        <x:v>En cours</x:v>
      </x:c>
    </x:row>
    <x:row r="91" ht="40" customHeight="1">
      <x:c r="A91" s="22" t="str">
        <x:v>Accident</x:v>
      </x:c>
      <x:c r="B91" s="22" t="str">
        <x:v>accident</x:v>
      </x:c>
      <x:c r="C91" s="26" t="n">
        <x:v>81</x:v>
      </x:c>
      <x:c r="D91" s="24" t="str">
        <x:v>Lot 10</x:v>
      </x:c>
      <x:c r="E91" s="25" t="str">
        <x:v>Actions</x:v>
      </x:c>
      <x:c r="F91" s="24" t="str">
        <x:f>IF(AND(G91=8,COUNTIF(Q91:V91,"Atlas")=6),"Intégré","À faire")</x:f>
        <x:v>Intégré</x:v>
      </x:c>
      <x:c r="G91" s="27" t="n">
        <x:f>COUNTIF(I91:P91,"Présent")</x:f>
        <x:v>8</x:v>
      </x:c>
      <x:c r="H91" s="24" t="str">
        <x:v>Archivé Drive</x:v>
      </x:c>
      <x:c r="I91" s="24" t="str">
        <x:v>Présent</x:v>
      </x:c>
      <x:c r="J91" s="24" t="str">
        <x:v>Présent</x:v>
      </x:c>
      <x:c r="K91" s="24" t="str">
        <x:v>Présent</x:v>
      </x:c>
      <x:c r="L91" s="24" t="str">
        <x:v>Présent</x:v>
      </x:c>
      <x:c r="M91" s="24" t="str">
        <x:v>Présent</x:v>
      </x:c>
      <x:c r="N91" s="24" t="str">
        <x:v>Présent</x:v>
      </x:c>
      <x:c r="O91" s="24" t="str">
        <x:v>Présent</x:v>
      </x:c>
      <x:c r="P91" s="24" t="str">
        <x:v>Présent</x:v>
      </x:c>
      <x:c r="Q91" s="24" t="str">
        <x:v>Atlas</x:v>
      </x:c>
      <x:c r="R91" s="24" t="str">
        <x:v>Atlas</x:v>
      </x:c>
      <x:c r="S91" s="24" t="str">
        <x:v>Atlas</x:v>
      </x:c>
      <x:c r="T91" s="24" t="str">
        <x:v>Atlas</x:v>
      </x:c>
      <x:c r="U91" s="24" t="str">
        <x:v>Atlas</x:v>
      </x:c>
      <x:c r="V91" s="24" t="str">
        <x:v>Atlas</x:v>
      </x:c>
      <x:c r="W91" s="24" t="str">
        <x:v>6/6 actuelles</x:v>
      </x:c>
      <x:c r="X91" s="24" t="str">
        <x:v>6/6 actuelles</x:v>
      </x:c>
      <x:c r="Y91" s="24" t="str">
        <x:v>Non consignée</x:v>
      </x:c>
      <x:c r="Z91" s="24" t="str">
        <x:v>Périmée (0/6)</x:v>
      </x:c>
      <x:c r="AA91" s="23" t="str">
        <x:v>Validation navigateur passée. Publication exacte en attente de Thanh.</x:v>
      </x:c>
      <x:c r="AB91" s="21" t="str">
        <x:v>674f752f62b3179c8a21300c7796024f5935efc1</x:v>
      </x:c>
      <x:c r="AC91" s="21" t="str">
        <x:v>En cours</x:v>
      </x:c>
    </x:row>
    <x:row r="92" ht="40" customHeight="1">
      <x:c r="A92" s="22" t="str">
        <x:v>Aéroport</x:v>
      </x:c>
      <x:c r="B92" s="22" t="str">
        <x:v>airport</x:v>
      </x:c>
      <x:c r="C92" s="26" t="n">
        <x:v>82</x:v>
      </x:c>
      <x:c r="D92" s="24" t="str">
        <x:v>Lot 10</x:v>
      </x:c>
      <x:c r="E92" s="25" t="str">
        <x:v>Lieux</x:v>
      </x:c>
      <x:c r="F92" s="24" t="str">
        <x:f>IF(AND(G92=8,COUNTIF(Q92:V92,"Atlas")=6),"Intégré","À faire")</x:f>
        <x:v>Intégré</x:v>
      </x:c>
      <x:c r="G92" s="27" t="n">
        <x:f>COUNTIF(I92:P92,"Présent")</x:f>
        <x:v>8</x:v>
      </x:c>
      <x:c r="H92" s="24" t="str">
        <x:v>Archivé Drive</x:v>
      </x:c>
      <x:c r="I92" s="24" t="str">
        <x:v>Présent</x:v>
      </x:c>
      <x:c r="J92" s="24" t="str">
        <x:v>Présent</x:v>
      </x:c>
      <x:c r="K92" s="24" t="str">
        <x:v>Présent</x:v>
      </x:c>
      <x:c r="L92" s="24" t="str">
        <x:v>Présent</x:v>
      </x:c>
      <x:c r="M92" s="24" t="str">
        <x:v>Présent</x:v>
      </x:c>
      <x:c r="N92" s="24" t="str">
        <x:v>Présent</x:v>
      </x:c>
      <x:c r="O92" s="24" t="str">
        <x:v>Présent</x:v>
      </x:c>
      <x:c r="P92" s="24" t="str">
        <x:v>Présent</x:v>
      </x:c>
      <x:c r="Q92" s="24" t="str">
        <x:v>Atlas</x:v>
      </x:c>
      <x:c r="R92" s="24" t="str">
        <x:v>Atlas</x:v>
      </x:c>
      <x:c r="S92" s="24" t="str">
        <x:v>Atlas</x:v>
      </x:c>
      <x:c r="T92" s="24" t="str">
        <x:v>Atlas</x:v>
      </x:c>
      <x:c r="U92" s="24" t="str">
        <x:v>Atlas</x:v>
      </x:c>
      <x:c r="V92" s="24" t="str">
        <x:v>Atlas</x:v>
      </x:c>
      <x:c r="W92" s="24" t="str">
        <x:v>6/6 actuelles</x:v>
      </x:c>
      <x:c r="X92" s="24" t="str">
        <x:v>6/6 actuelles</x:v>
      </x:c>
      <x:c r="Y92" s="24" t="str">
        <x:v>Non consignée</x:v>
      </x:c>
      <x:c r="Z92" s="24" t="str">
        <x:v>Périmée (0/6)</x:v>
      </x:c>
      <x:c r="AA92" s="23" t="str">
        <x:v>Validation navigateur passée. Publication exacte en attente de Thanh.</x:v>
      </x:c>
      <x:c r="AB92" s="21" t="str">
        <x:v>674f752f62b3179c8a21300c7796024f5935efc1</x:v>
      </x:c>
      <x:c r="AC92" s="21" t="str">
        <x:v>En cours</x:v>
      </x:c>
    </x:row>
    <x:row r="93" ht="40" customHeight="1">
      <x:c r="A93" s="22" t="str">
        <x:v>Aigle</x:v>
      </x:c>
      <x:c r="B93" s="22" t="str">
        <x:v>eagle</x:v>
      </x:c>
      <x:c r="C93" s="26" t="n">
        <x:v>83</x:v>
      </x:c>
      <x:c r="D93" s="24" t="str">
        <x:v>Lot 12</x:v>
      </x:c>
      <x:c r="E93" s="25" t="str">
        <x:v>Animaux</x:v>
      </x:c>
      <x:c r="F93" s="24" t="str">
        <x:f>IF(AND(G93=8,COUNTIF(Q93:V93,"Atlas")=6),"Intégré","À faire")</x:f>
        <x:v>Intégré</x:v>
      </x:c>
      <x:c r="G93" s="27" t="n">
        <x:f>COUNTIF(I93:P93,"Présent")</x:f>
        <x:v>8</x:v>
      </x:c>
      <x:c r="H93" s="24" t="str">
        <x:v>Archivé Drive</x:v>
      </x:c>
      <x:c r="I93" s="24" t="str">
        <x:v>Présent</x:v>
      </x:c>
      <x:c r="J93" s="24" t="str">
        <x:v>Présent</x:v>
      </x:c>
      <x:c r="K93" s="24" t="str">
        <x:v>Présent</x:v>
      </x:c>
      <x:c r="L93" s="24" t="str">
        <x:v>Présent</x:v>
      </x:c>
      <x:c r="M93" s="24" t="str">
        <x:v>Présent</x:v>
      </x:c>
      <x:c r="N93" s="24" t="str">
        <x:v>Présent</x:v>
      </x:c>
      <x:c r="O93" s="24" t="str">
        <x:v>Présent</x:v>
      </x:c>
      <x:c r="P93" s="24" t="str">
        <x:v>Présent</x:v>
      </x:c>
      <x:c r="Q93" s="24" t="str">
        <x:v>Atlas</x:v>
      </x:c>
      <x:c r="R93" s="24" t="str">
        <x:v>Atlas</x:v>
      </x:c>
      <x:c r="S93" s="24" t="str">
        <x:v>Atlas</x:v>
      </x:c>
      <x:c r="T93" s="24" t="str">
        <x:v>Atlas</x:v>
      </x:c>
      <x:c r="U93" s="24" t="str">
        <x:v>Atlas</x:v>
      </x:c>
      <x:c r="V93" s="24" t="str">
        <x:v>Atlas</x:v>
      </x:c>
      <x:c r="W93" s="24" t="str">
        <x:v>6/6 actuelles</x:v>
      </x:c>
      <x:c r="X93" s="24" t="str">
        <x:v>6/6 actuelles</x:v>
      </x:c>
      <x:c r="Y93" s="24" t="str">
        <x:v>Non consignée</x:v>
      </x:c>
      <x:c r="Z93" s="24" t="str">
        <x:v>Périmée (0/6)</x:v>
      </x:c>
      <x:c r="AA93" s="23" t="str">
        <x:v>Validation navigateur passée. Publication exacte en attente de Thanh.</x:v>
      </x:c>
      <x:c r="AB93" s="21" t="str">
        <x:v>674f752f62b3179c8a21300c7796024f5935efc1</x:v>
      </x:c>
      <x:c r="AC93" s="21" t="str">
        <x:v>En cours</x:v>
      </x:c>
    </x:row>
    <x:row r="94" ht="40" customHeight="1">
      <x:c r="A94" s="22" t="str">
        <x:v>Ami</x:v>
      </x:c>
      <x:c r="B94" s="22" t="str">
        <x:v>friend</x:v>
      </x:c>
      <x:c r="C94" s="26" t="n">
        <x:v>84</x:v>
      </x:c>
      <x:c r="D94" s="24" t="str">
        <x:v>Lot 10</x:v>
      </x:c>
      <x:c r="E94" s="25" t="str">
        <x:v>Personnes</x:v>
      </x:c>
      <x:c r="F94" s="24" t="str">
        <x:f>IF(AND(G94=8,COUNTIF(Q94:V94,"Atlas")=6),"Intégré","À faire")</x:f>
        <x:v>Intégré</x:v>
      </x:c>
      <x:c r="G94" s="27" t="n">
        <x:f>COUNTIF(I94:P94,"Présent")</x:f>
        <x:v>8</x:v>
      </x:c>
      <x:c r="H94" s="24" t="str">
        <x:v>Archivé Drive</x:v>
      </x:c>
      <x:c r="I94" s="24" t="str">
        <x:v>Présent</x:v>
      </x:c>
      <x:c r="J94" s="24" t="str">
        <x:v>Présent</x:v>
      </x:c>
      <x:c r="K94" s="24" t="str">
        <x:v>Présent</x:v>
      </x:c>
      <x:c r="L94" s="24" t="str">
        <x:v>Présent</x:v>
      </x:c>
      <x:c r="M94" s="24" t="str">
        <x:v>Présent</x:v>
      </x:c>
      <x:c r="N94" s="24" t="str">
        <x:v>Présent</x:v>
      </x:c>
      <x:c r="O94" s="24" t="str">
        <x:v>Présent</x:v>
      </x:c>
      <x:c r="P94" s="24" t="str">
        <x:v>Présent</x:v>
      </x:c>
      <x:c r="Q94" s="24" t="str">
        <x:v>Atlas</x:v>
      </x:c>
      <x:c r="R94" s="24" t="str">
        <x:v>Atlas</x:v>
      </x:c>
      <x:c r="S94" s="24" t="str">
        <x:v>Atlas</x:v>
      </x:c>
      <x:c r="T94" s="24" t="str">
        <x:v>Atlas</x:v>
      </x:c>
      <x:c r="U94" s="24" t="str">
        <x:v>Atlas</x:v>
      </x:c>
      <x:c r="V94" s="24" t="str">
        <x:v>Atlas</x:v>
      </x:c>
      <x:c r="W94" s="24" t="str">
        <x:v>6/6 actuelles</x:v>
      </x:c>
      <x:c r="X94" s="24" t="str">
        <x:v>6/6 actuelles</x:v>
      </x:c>
      <x:c r="Y94" s="24" t="str">
        <x:v>Non consignée</x:v>
      </x:c>
      <x:c r="Z94" s="24" t="str">
        <x:v>Périmée (0/6)</x:v>
      </x:c>
      <x:c r="AA94" s="23" t="str">
        <x:v>Validation navigateur passée. Publication exacte en attente de Thanh.</x:v>
      </x:c>
      <x:c r="AB94" s="21" t="str">
        <x:v>674f752f62b3179c8a21300c7796024f5935efc1</x:v>
      </x:c>
      <x:c r="AC94" s="21" t="str">
        <x:v>En cours</x:v>
      </x:c>
    </x:row>
    <x:row r="95" ht="40" customHeight="1">
      <x:c r="A95" s="22" t="str">
        <x:v>Ange</x:v>
      </x:c>
      <x:c r="B95" s="22" t="str">
        <x:v>angel</x:v>
      </x:c>
      <x:c r="C95" s="26" t="n">
        <x:v>85</x:v>
      </x:c>
      <x:c r="D95" s="24" t="str">
        <x:v>Lot 10</x:v>
      </x:c>
      <x:c r="E95" s="25" t="str">
        <x:v>Ciel</x:v>
      </x:c>
      <x:c r="F95" s="24" t="str">
        <x:f>IF(AND(G95=8,COUNTIF(Q95:V95,"Atlas")=6),"Intégré","À faire")</x:f>
        <x:v>Intégré</x:v>
      </x:c>
      <x:c r="G95" s="27" t="n">
        <x:f>COUNTIF(I95:P95,"Présent")</x:f>
        <x:v>8</x:v>
      </x:c>
      <x:c r="H95" s="24" t="str">
        <x:v>Archivé Drive</x:v>
      </x:c>
      <x:c r="I95" s="24" t="str">
        <x:v>Présent</x:v>
      </x:c>
      <x:c r="J95" s="24" t="str">
        <x:v>Présent</x:v>
      </x:c>
      <x:c r="K95" s="24" t="str">
        <x:v>Présent</x:v>
      </x:c>
      <x:c r="L95" s="24" t="str">
        <x:v>Présent</x:v>
      </x:c>
      <x:c r="M95" s="24" t="str">
        <x:v>Présent</x:v>
      </x:c>
      <x:c r="N95" s="24" t="str">
        <x:v>Présent</x:v>
      </x:c>
      <x:c r="O95" s="24" t="str">
        <x:v>Présent</x:v>
      </x:c>
      <x:c r="P95" s="24" t="str">
        <x:v>Présent</x:v>
      </x:c>
      <x:c r="Q95" s="24" t="str">
        <x:v>Atlas</x:v>
      </x:c>
      <x:c r="R95" s="24" t="str">
        <x:v>Atlas</x:v>
      </x:c>
      <x:c r="S95" s="24" t="str">
        <x:v>Atlas</x:v>
      </x:c>
      <x:c r="T95" s="24" t="str">
        <x:v>Atlas</x:v>
      </x:c>
      <x:c r="U95" s="24" t="str">
        <x:v>Atlas</x:v>
      </x:c>
      <x:c r="V95" s="24" t="str">
        <x:v>Atlas</x:v>
      </x:c>
      <x:c r="W95" s="24" t="str">
        <x:v>6/6 actuelles</x:v>
      </x:c>
      <x:c r="X95" s="24" t="str">
        <x:v>6/6 actuelles</x:v>
      </x:c>
      <x:c r="Y95" s="24" t="str">
        <x:v>Non consignée</x:v>
      </x:c>
      <x:c r="Z95" s="24" t="str">
        <x:v>Périmée (0/6)</x:v>
      </x:c>
      <x:c r="AA95" s="23" t="str">
        <x:v>Validation navigateur passée. Publication exacte en attente de Thanh.</x:v>
      </x:c>
      <x:c r="AB95" s="21" t="str">
        <x:v>674f752f62b3179c8a21300c7796024f5935efc1</x:v>
      </x:c>
      <x:c r="AC95" s="21" t="str">
        <x:v>En cours</x:v>
      </x:c>
    </x:row>
    <x:row r="96" ht="40" customHeight="1">
      <x:c r="A96" s="22" t="str">
        <x:v>Apocalypse</x:v>
      </x:c>
      <x:c r="B96" s="22" t="str">
        <x:v>apocalypse</x:v>
      </x:c>
      <x:c r="C96" s="26" t="n">
        <x:v>86</x:v>
      </x:c>
      <x:c r="D96" s="24" t="str">
        <x:v>Lot 10</x:v>
      </x:c>
      <x:c r="E96" s="25" t="str">
        <x:v>Nature</x:v>
      </x:c>
      <x:c r="F96" s="24" t="str">
        <x:f>IF(AND(G96=8,COUNTIF(Q96:V96,"Atlas")=6),"Intégré","À faire")</x:f>
        <x:v>Intégré</x:v>
      </x:c>
      <x:c r="G96" s="27" t="n">
        <x:f>COUNTIF(I96:P96,"Présent")</x:f>
        <x:v>8</x:v>
      </x:c>
      <x:c r="H96" s="24" t="str">
        <x:v>Archivé Drive</x:v>
      </x:c>
      <x:c r="I96" s="24" t="str">
        <x:v>Présent</x:v>
      </x:c>
      <x:c r="J96" s="24" t="str">
        <x:v>Présent</x:v>
      </x:c>
      <x:c r="K96" s="24" t="str">
        <x:v>Présent</x:v>
      </x:c>
      <x:c r="L96" s="24" t="str">
        <x:v>Présent</x:v>
      </x:c>
      <x:c r="M96" s="24" t="str">
        <x:v>Présent</x:v>
      </x:c>
      <x:c r="N96" s="24" t="str">
        <x:v>Présent</x:v>
      </x:c>
      <x:c r="O96" s="24" t="str">
        <x:v>Présent</x:v>
      </x:c>
      <x:c r="P96" s="24" t="str">
        <x:v>Présent</x:v>
      </x:c>
      <x:c r="Q96" s="24" t="str">
        <x:v>Atlas</x:v>
      </x:c>
      <x:c r="R96" s="24" t="str">
        <x:v>Atlas</x:v>
      </x:c>
      <x:c r="S96" s="24" t="str">
        <x:v>Atlas</x:v>
      </x:c>
      <x:c r="T96" s="24" t="str">
        <x:v>Atlas</x:v>
      </x:c>
      <x:c r="U96" s="24" t="str">
        <x:v>Atlas</x:v>
      </x:c>
      <x:c r="V96" s="24" t="str">
        <x:v>Atlas</x:v>
      </x:c>
      <x:c r="W96" s="24" t="str">
        <x:v>6/6 actuelles</x:v>
      </x:c>
      <x:c r="X96" s="24" t="str">
        <x:v>6/6 actuelles</x:v>
      </x:c>
      <x:c r="Y96" s="24" t="str">
        <x:v>Non consignée</x:v>
      </x:c>
      <x:c r="Z96" s="24" t="str">
        <x:v>Périmée (0/6)</x:v>
      </x:c>
      <x:c r="AA96" s="23" t="str">
        <x:v>Validation navigateur passée. Publication exacte en attente de Thanh.</x:v>
      </x:c>
      <x:c r="AB96" s="21" t="str">
        <x:v>674f752f62b3179c8a21300c7796024f5935efc1</x:v>
      </x:c>
      <x:c r="AC96" s="21" t="str">
        <x:v>En cours</x:v>
      </x:c>
    </x:row>
    <x:row r="97" ht="40" customHeight="1">
      <x:c r="A97" s="22" t="str">
        <x:v>Araignée</x:v>
      </x:c>
      <x:c r="B97" s="22" t="str">
        <x:v>spider</x:v>
      </x:c>
      <x:c r="C97" s="26" t="n">
        <x:v>87</x:v>
      </x:c>
      <x:c r="D97" s="24" t="str">
        <x:v>Lot 08</x:v>
      </x:c>
      <x:c r="E97" s="25" t="str">
        <x:v>Animaux</x:v>
      </x:c>
      <x:c r="F97" s="24" t="str">
        <x:f>IF(AND(G97=8,COUNTIF(Q97:V97,"Atlas")=6),"Intégré","À faire")</x:f>
        <x:v>Intégré</x:v>
      </x:c>
      <x:c r="G97" s="27" t="n">
        <x:f>COUNTIF(I97:P97,"Présent")</x:f>
        <x:v>8</x:v>
      </x:c>
      <x:c r="H97" s="24" t="str">
        <x:v>Archivé Drive</x:v>
      </x:c>
      <x:c r="I97" s="24" t="str">
        <x:v>Présent</x:v>
      </x:c>
      <x:c r="J97" s="24" t="str">
        <x:v>Présent</x:v>
      </x:c>
      <x:c r="K97" s="24" t="str">
        <x:v>Présent</x:v>
      </x:c>
      <x:c r="L97" s="24" t="str">
        <x:v>Présent</x:v>
      </x:c>
      <x:c r="M97" s="24" t="str">
        <x:v>Présent</x:v>
      </x:c>
      <x:c r="N97" s="24" t="str">
        <x:v>Présent</x:v>
      </x:c>
      <x:c r="O97" s="24" t="str">
        <x:v>Présent</x:v>
      </x:c>
      <x:c r="P97" s="24" t="str">
        <x:v>Présent</x:v>
      </x:c>
      <x:c r="Q97" s="24" t="str">
        <x:v>Atlas</x:v>
      </x:c>
      <x:c r="R97" s="24" t="str">
        <x:v>Atlas</x:v>
      </x:c>
      <x:c r="S97" s="24" t="str">
        <x:v>Atlas</x:v>
      </x:c>
      <x:c r="T97" s="24" t="str">
        <x:v>Atlas</x:v>
      </x:c>
      <x:c r="U97" s="24" t="str">
        <x:v>Atlas</x:v>
      </x:c>
      <x:c r="V97" s="24" t="str">
        <x:v>Atlas</x:v>
      </x:c>
      <x:c r="W97" s="24" t="str">
        <x:v>6/6 actuelles</x:v>
      </x:c>
      <x:c r="X97" s="24" t="str">
        <x:v>6/6 actuelles</x:v>
      </x:c>
      <x:c r="Y97" s="24" t="str">
        <x:v>Non consignée</x:v>
      </x:c>
      <x:c r="Z97" s="24" t="str">
        <x:v>Périmée (0/6)</x:v>
      </x:c>
      <x:c r="AA97" s="23" t="str">
        <x:v>Validation navigateur passée. Publication exacte en attente de Thanh.</x:v>
      </x:c>
      <x:c r="AB97" s="21" t="str">
        <x:v>674f752f62b3179c8a21300c7796024f5935efc1</x:v>
      </x:c>
      <x:c r="AC97" s="21" t="str">
        <x:v>En cours</x:v>
      </x:c>
    </x:row>
    <x:row r="98" ht="40" customHeight="1">
      <x:c r="A98" s="22" t="str">
        <x:v>Arbre</x:v>
      </x:c>
      <x:c r="B98" s="22" t="str">
        <x:v>tree</x:v>
      </x:c>
      <x:c r="C98" s="26" t="n">
        <x:v>88</x:v>
      </x:c>
      <x:c r="D98" s="24" t="str">
        <x:v>Lot 08</x:v>
      </x:c>
      <x:c r="E98" s="25" t="str">
        <x:v>Nature</x:v>
      </x:c>
      <x:c r="F98" s="24" t="str">
        <x:f>IF(AND(G98=8,COUNTIF(Q98:V98,"Atlas")=6),"Intégré","À faire")</x:f>
        <x:v>Intégré</x:v>
      </x:c>
      <x:c r="G98" s="27" t="n">
        <x:f>COUNTIF(I98:P98,"Présent")</x:f>
        <x:v>8</x:v>
      </x:c>
      <x:c r="H98" s="24" t="str">
        <x:v>Archivé Drive</x:v>
      </x:c>
      <x:c r="I98" s="24" t="str">
        <x:v>Présent</x:v>
      </x:c>
      <x:c r="J98" s="24" t="str">
        <x:v>Présent</x:v>
      </x:c>
      <x:c r="K98" s="24" t="str">
        <x:v>Présent</x:v>
      </x:c>
      <x:c r="L98" s="24" t="str">
        <x:v>Présent</x:v>
      </x:c>
      <x:c r="M98" s="24" t="str">
        <x:v>Présent</x:v>
      </x:c>
      <x:c r="N98" s="24" t="str">
        <x:v>Présent</x:v>
      </x:c>
      <x:c r="O98" s="24" t="str">
        <x:v>Présent</x:v>
      </x:c>
      <x:c r="P98" s="24" t="str">
        <x:v>Présent</x:v>
      </x:c>
      <x:c r="Q98" s="24" t="str">
        <x:v>Atlas</x:v>
      </x:c>
      <x:c r="R98" s="24" t="str">
        <x:v>Atlas</x:v>
      </x:c>
      <x:c r="S98" s="24" t="str">
        <x:v>Atlas</x:v>
      </x:c>
      <x:c r="T98" s="24" t="str">
        <x:v>Atlas</x:v>
      </x:c>
      <x:c r="U98" s="24" t="str">
        <x:v>Atlas</x:v>
      </x:c>
      <x:c r="V98" s="24" t="str">
        <x:v>Atlas</x:v>
      </x:c>
      <x:c r="W98" s="24" t="str">
        <x:v>6/6 actuelles</x:v>
      </x:c>
      <x:c r="X98" s="24" t="str">
        <x:v>6/6 actuelles</x:v>
      </x:c>
      <x:c r="Y98" s="24" t="str">
        <x:v>Non consignée</x:v>
      </x:c>
      <x:c r="Z98" s="24" t="str">
        <x:v>Périmée (0/6)</x:v>
      </x:c>
      <x:c r="AA98" s="23" t="str">
        <x:v>Validation navigateur passée. Publication exacte en attente de Thanh.</x:v>
      </x:c>
      <x:c r="AB98" s="21" t="str">
        <x:v>674f752f62b3179c8a21300c7796024f5935efc1</x:v>
      </x:c>
      <x:c r="AC98" s="21" t="str">
        <x:v>En cours</x:v>
      </x:c>
    </x:row>
    <x:row r="99" ht="40" customHeight="1">
      <x:c r="A99" s="22" t="str">
        <x:v>Arc-en-ciel</x:v>
      </x:c>
      <x:c r="B99" s="22" t="str">
        <x:v>rainbow</x:v>
      </x:c>
      <x:c r="C99" s="26" t="n">
        <x:v>89</x:v>
      </x:c>
      <x:c r="D99" s="24" t="str">
        <x:v>Lot 08</x:v>
      </x:c>
      <x:c r="E99" s="25" t="str">
        <x:v>Ciel</x:v>
      </x:c>
      <x:c r="F99" s="24" t="str">
        <x:f>IF(AND(G99=8,COUNTIF(Q99:V99,"Atlas")=6),"Intégré","À faire")</x:f>
        <x:v>Intégré</x:v>
      </x:c>
      <x:c r="G99" s="27" t="n">
        <x:f>COUNTIF(I99:P99,"Présent")</x:f>
        <x:v>8</x:v>
      </x:c>
      <x:c r="H99" s="24" t="str">
        <x:v>Archivé Drive</x:v>
      </x:c>
      <x:c r="I99" s="24" t="str">
        <x:v>Présent</x:v>
      </x:c>
      <x:c r="J99" s="24" t="str">
        <x:v>Présent</x:v>
      </x:c>
      <x:c r="K99" s="24" t="str">
        <x:v>Présent</x:v>
      </x:c>
      <x:c r="L99" s="24" t="str">
        <x:v>Présent</x:v>
      </x:c>
      <x:c r="M99" s="24" t="str">
        <x:v>Présent</x:v>
      </x:c>
      <x:c r="N99" s="24" t="str">
        <x:v>Présent</x:v>
      </x:c>
      <x:c r="O99" s="24" t="str">
        <x:v>Présent</x:v>
      </x:c>
      <x:c r="P99" s="24" t="str">
        <x:v>Présent</x:v>
      </x:c>
      <x:c r="Q99" s="24" t="str">
        <x:v>Atlas</x:v>
      </x:c>
      <x:c r="R99" s="24" t="str">
        <x:v>Atlas</x:v>
      </x:c>
      <x:c r="S99" s="24" t="str">
        <x:v>Atlas</x:v>
      </x:c>
      <x:c r="T99" s="24" t="str">
        <x:v>Atlas</x:v>
      </x:c>
      <x:c r="U99" s="24" t="str">
        <x:v>Atlas</x:v>
      </x:c>
      <x:c r="V99" s="24" t="str">
        <x:v>Atlas</x:v>
      </x:c>
      <x:c r="W99" s="24" t="str">
        <x:v>6/6 actuelles</x:v>
      </x:c>
      <x:c r="X99" s="24" t="str">
        <x:v>6/6 actuelles</x:v>
      </x:c>
      <x:c r="Y99" s="24" t="str">
        <x:v>Non consignée</x:v>
      </x:c>
      <x:c r="Z99" s="24" t="str">
        <x:v>Périmée (0/6)</x:v>
      </x:c>
      <x:c r="AA99" s="23" t="str">
        <x:v>Validation navigateur passée. Publication exacte en attente de Thanh.</x:v>
      </x:c>
      <x:c r="AB99" s="21" t="str">
        <x:v>674f752f62b3179c8a21300c7796024f5935efc1</x:v>
      </x:c>
      <x:c r="AC99" s="21" t="str">
        <x:v>En cours</x:v>
      </x:c>
    </x:row>
    <x:row r="100" ht="40" customHeight="1">
      <x:c r="A100" s="22" t="str">
        <x:v>Argent</x:v>
      </x:c>
      <x:c r="B100" s="22" t="str">
        <x:v>money</x:v>
      </x:c>
      <x:c r="C100" s="26" t="n">
        <x:v>90</x:v>
      </x:c>
      <x:c r="D100" s="24" t="str">
        <x:v>Lot 08</x:v>
      </x:c>
      <x:c r="E100" s="25" t="str">
        <x:v>Objets</x:v>
      </x:c>
      <x:c r="F100" s="24" t="str">
        <x:f>IF(AND(G100=8,COUNTIF(Q100:V100,"Atlas")=6),"Intégré","À faire")</x:f>
        <x:v>Intégré</x:v>
      </x:c>
      <x:c r="G100" s="27" t="n">
        <x:f>COUNTIF(I100:P100,"Présent")</x:f>
        <x:v>8</x:v>
      </x:c>
      <x:c r="H100" s="24" t="str">
        <x:v>Archivé Drive</x:v>
      </x:c>
      <x:c r="I100" s="24" t="str">
        <x:v>Présent</x:v>
      </x:c>
      <x:c r="J100" s="24" t="str">
        <x:v>Présent</x:v>
      </x:c>
      <x:c r="K100" s="24" t="str">
        <x:v>Présent</x:v>
      </x:c>
      <x:c r="L100" s="24" t="str">
        <x:v>Présent</x:v>
      </x:c>
      <x:c r="M100" s="24" t="str">
        <x:v>Présent</x:v>
      </x:c>
      <x:c r="N100" s="24" t="str">
        <x:v>Présent</x:v>
      </x:c>
      <x:c r="O100" s="24" t="str">
        <x:v>Présent</x:v>
      </x:c>
      <x:c r="P100" s="24" t="str">
        <x:v>Présent</x:v>
      </x:c>
      <x:c r="Q100" s="24" t="str">
        <x:v>Atlas</x:v>
      </x:c>
      <x:c r="R100" s="24" t="str">
        <x:v>Atlas</x:v>
      </x:c>
      <x:c r="S100" s="24" t="str">
        <x:v>Atlas</x:v>
      </x:c>
      <x:c r="T100" s="24" t="str">
        <x:v>Atlas</x:v>
      </x:c>
      <x:c r="U100" s="24" t="str">
        <x:v>Atlas</x:v>
      </x:c>
      <x:c r="V100" s="24" t="str">
        <x:v>Atlas</x:v>
      </x:c>
      <x:c r="W100" s="24" t="str">
        <x:v>6/6 actuelles</x:v>
      </x:c>
      <x:c r="X100" s="24" t="str">
        <x:v>6/6 actuelles</x:v>
      </x:c>
      <x:c r="Y100" s="24" t="str">
        <x:v>Non consignée</x:v>
      </x:c>
      <x:c r="Z100" s="24" t="str">
        <x:v>Périmée (0/6)</x:v>
      </x:c>
      <x:c r="AA100" s="23" t="str">
        <x:v>Validation navigateur passée. Publication exacte en attente de Thanh.</x:v>
      </x:c>
      <x:c r="AB100" s="21" t="str">
        <x:v>674f752f62b3179c8a21300c7796024f5935efc1</x:v>
      </x:c>
      <x:c r="AC100" s="21" t="str">
        <x:v>En cours</x:v>
      </x:c>
    </x:row>
    <x:row r="101" ht="40" customHeight="1">
      <x:c r="A101" s="22" t="str">
        <x:v>Arme à feu / Pistolet</x:v>
      </x:c>
      <x:c r="B101" s="22" t="str">
        <x:v>gun</x:v>
      </x:c>
      <x:c r="C101" s="26" t="n">
        <x:v>91</x:v>
      </x:c>
      <x:c r="D101" s="24" t="str">
        <x:v>Lot 14</x:v>
      </x:c>
      <x:c r="E101" s="25" t="str">
        <x:v>Objets</x:v>
      </x:c>
      <x:c r="F101" s="24" t="str">
        <x:f>IF(AND(G101=8,COUNTIF(Q101:V101,"Atlas")=6),"Intégré","À faire")</x:f>
        <x:v>Intégré</x:v>
      </x:c>
      <x:c r="G101" s="27" t="n">
        <x:f>COUNTIF(I101:P101,"Présent")</x:f>
        <x:v>8</x:v>
      </x:c>
      <x:c r="H101" s="24" t="str">
        <x:v>Archivé Drive</x:v>
      </x:c>
      <x:c r="I101" s="24" t="str">
        <x:v>Présent</x:v>
      </x:c>
      <x:c r="J101" s="24" t="str">
        <x:v>Présent</x:v>
      </x:c>
      <x:c r="K101" s="24" t="str">
        <x:v>Présent</x:v>
      </x:c>
      <x:c r="L101" s="24" t="str">
        <x:v>Présent</x:v>
      </x:c>
      <x:c r="M101" s="24" t="str">
        <x:v>Présent</x:v>
      </x:c>
      <x:c r="N101" s="24" t="str">
        <x:v>Présent</x:v>
      </x:c>
      <x:c r="O101" s="24" t="str">
        <x:v>Présent</x:v>
      </x:c>
      <x:c r="P101" s="24" t="str">
        <x:v>Présent</x:v>
      </x:c>
      <x:c r="Q101" s="24" t="str">
        <x:v>Atlas</x:v>
      </x:c>
      <x:c r="R101" s="24" t="str">
        <x:v>Atlas</x:v>
      </x:c>
      <x:c r="S101" s="24" t="str">
        <x:v>Atlas</x:v>
      </x:c>
      <x:c r="T101" s="24" t="str">
        <x:v>Atlas</x:v>
      </x:c>
      <x:c r="U101" s="24" t="str">
        <x:v>Atlas</x:v>
      </x:c>
      <x:c r="V101" s="24" t="str">
        <x:v>Atlas</x:v>
      </x:c>
      <x:c r="W101" s="24" t="str">
        <x:v>6/6 actuelles</x:v>
      </x:c>
      <x:c r="X101" s="24" t="str">
        <x:v>6/6 actuelles</x:v>
      </x:c>
      <x:c r="Y101" s="24" t="str">
        <x:v>Non consignée</x:v>
      </x:c>
      <x:c r="Z101" s="24" t="str">
        <x:v>Périmée (0/6)</x:v>
      </x:c>
      <x:c r="AA101" s="23" t="str">
        <x:v>Validation navigateur passée. Publication exacte en attente de Thanh.</x:v>
      </x:c>
      <x:c r="AB101" s="21" t="str">
        <x:v>674f752f62b3179c8a21300c7796024f5935efc1</x:v>
      </x:c>
      <x:c r="AC101" s="21" t="str">
        <x:v>En cours</x:v>
      </x:c>
    </x:row>
    <x:row r="102" ht="40" customHeight="1">
      <x:c r="A102" s="22" t="str">
        <x:v>Avion</x:v>
      </x:c>
      <x:c r="B102" s="22" t="str">
        <x:v>plane</x:v>
      </x:c>
      <x:c r="C102" s="26" t="n">
        <x:v>92</x:v>
      </x:c>
      <x:c r="D102" s="24" t="str">
        <x:v>Lot 08</x:v>
      </x:c>
      <x:c r="E102" s="25" t="str">
        <x:v>Objets</x:v>
      </x:c>
      <x:c r="F102" s="24" t="str">
        <x:f>IF(AND(G102=8,COUNTIF(Q102:V102,"Atlas")=6),"Intégré","À faire")</x:f>
        <x:v>Intégré</x:v>
      </x:c>
      <x:c r="G102" s="27" t="n">
        <x:f>COUNTIF(I102:P102,"Présent")</x:f>
        <x:v>8</x:v>
      </x:c>
      <x:c r="H102" s="24" t="str">
        <x:v>Archivé Drive</x:v>
      </x:c>
      <x:c r="I102" s="24" t="str">
        <x:v>Présent</x:v>
      </x:c>
      <x:c r="J102" s="24" t="str">
        <x:v>Présent</x:v>
      </x:c>
      <x:c r="K102" s="24" t="str">
        <x:v>Présent</x:v>
      </x:c>
      <x:c r="L102" s="24" t="str">
        <x:v>Présent</x:v>
      </x:c>
      <x:c r="M102" s="24" t="str">
        <x:v>Présent</x:v>
      </x:c>
      <x:c r="N102" s="24" t="str">
        <x:v>Présent</x:v>
      </x:c>
      <x:c r="O102" s="24" t="str">
        <x:v>Présent</x:v>
      </x:c>
      <x:c r="P102" s="24" t="str">
        <x:v>Présent</x:v>
      </x:c>
      <x:c r="Q102" s="24" t="str">
        <x:v>Atlas</x:v>
      </x:c>
      <x:c r="R102" s="24" t="str">
        <x:v>Atlas</x:v>
      </x:c>
      <x:c r="S102" s="24" t="str">
        <x:v>Atlas</x:v>
      </x:c>
      <x:c r="T102" s="24" t="str">
        <x:v>Atlas</x:v>
      </x:c>
      <x:c r="U102" s="24" t="str">
        <x:v>Atlas</x:v>
      </x:c>
      <x:c r="V102" s="24" t="str">
        <x:v>Atlas</x:v>
      </x:c>
      <x:c r="W102" s="24" t="str">
        <x:v>6/6 actuelles</x:v>
      </x:c>
      <x:c r="X102" s="24" t="str">
        <x:v>6/6 actuelles</x:v>
      </x:c>
      <x:c r="Y102" s="24" t="str">
        <x:v>Non consignée</x:v>
      </x:c>
      <x:c r="Z102" s="24" t="str">
        <x:v>Périmée (0/6)</x:v>
      </x:c>
      <x:c r="AA102" s="23" t="str">
        <x:v>Validation navigateur passée. Publication exacte en attente de Thanh.</x:v>
      </x:c>
      <x:c r="AB102" s="21" t="str">
        <x:v>674f752f62b3179c8a21300c7796024f5935efc1</x:v>
      </x:c>
      <x:c r="AC102" s="21" t="str">
        <x:v>En cours</x:v>
      </x:c>
    </x:row>
    <x:row r="103" ht="40" customHeight="1">
      <x:c r="A103" s="22" t="str">
        <x:v>Bague</x:v>
      </x:c>
      <x:c r="B103" s="22" t="str">
        <x:v>ring</x:v>
      </x:c>
      <x:c r="C103" s="26" t="n">
        <x:v>93</x:v>
      </x:c>
      <x:c r="D103" s="24" t="str">
        <x:v>Lot 11 (master)</x:v>
      </x:c>
      <x:c r="E103" s="25" t="str">
        <x:v>Objets</x:v>
      </x:c>
      <x:c r="F103" s="24" t="str">
        <x:f>IF(AND(G103=8,COUNTIF(Q103:V103,"Atlas")=6),"Intégré","À faire")</x:f>
        <x:v>Intégré</x:v>
      </x:c>
      <x:c r="G103" s="27" t="n">
        <x:f>COUNTIF(I103:P103,"Présent")</x:f>
        <x:v>8</x:v>
      </x:c>
      <x:c r="H103" s="24" t="str">
        <x:v>Archive Drive</x:v>
      </x:c>
      <x:c r="I103" s="24" t="str">
        <x:v>Présent</x:v>
      </x:c>
      <x:c r="J103" s="24" t="str">
        <x:v>Présent</x:v>
      </x:c>
      <x:c r="K103" s="24" t="str">
        <x:v>Présent</x:v>
      </x:c>
      <x:c r="L103" s="24" t="str">
        <x:v>Présent</x:v>
      </x:c>
      <x:c r="M103" s="24" t="str">
        <x:v>Présent</x:v>
      </x:c>
      <x:c r="N103" s="24" t="str">
        <x:v>Présent</x:v>
      </x:c>
      <x:c r="O103" s="24" t="str">
        <x:v>Présent</x:v>
      </x:c>
      <x:c r="P103" s="24" t="str">
        <x:v>Présent</x:v>
      </x:c>
      <x:c r="Q103" s="24" t="str">
        <x:v>Atlas</x:v>
      </x:c>
      <x:c r="R103" s="24" t="str">
        <x:v>Atlas</x:v>
      </x:c>
      <x:c r="S103" s="24" t="str">
        <x:v>Atlas</x:v>
      </x:c>
      <x:c r="T103" s="24" t="str">
        <x:v>Atlas</x:v>
      </x:c>
      <x:c r="U103" s="24" t="str">
        <x:v>Atlas</x:v>
      </x:c>
      <x:c r="V103" s="24" t="str">
        <x:v>Atlas</x:v>
      </x:c>
      <x:c r="W103" s="24" t="str">
        <x:v>6/6 actuelles</x:v>
      </x:c>
      <x:c r="X103" s="24" t="str">
        <x:v>6/6 actuelles</x:v>
      </x:c>
      <x:c r="Y103" s="24" t="str">
        <x:v>Non consignée</x:v>
      </x:c>
      <x:c r="Z103" s="24" t="str">
        <x:v>Périmée (0/6)</x:v>
      </x:c>
      <x:c r="AA103" s="23" t="str">
        <x:v>Validation navigateur passée. Publication exacte en attente de Thanh.</x:v>
      </x:c>
      <x:c r="AB103" s="21" t="str">
        <x:v>674f752f62b3179c8a21300c7796024f5935efc1</x:v>
      </x:c>
      <x:c r="AC103" s="21" t="str">
        <x:v>En cours</x:v>
      </x:c>
    </x:row>
    <x:row r="104" ht="40" customHeight="1">
      <x:c r="A104" s="22" t="str">
        <x:v>Baleine</x:v>
      </x:c>
      <x:c r="B104" s="22" t="str">
        <x:v>whale</x:v>
      </x:c>
      <x:c r="C104" s="26" t="n">
        <x:v>94</x:v>
      </x:c>
      <x:c r="D104" s="24" t="str">
        <x:v>Lot 09</x:v>
      </x:c>
      <x:c r="E104" s="25" t="str">
        <x:v>Animaux</x:v>
      </x:c>
      <x:c r="F104" s="24" t="str">
        <x:f>IF(AND(G104=8,COUNTIF(Q104:V104,"Atlas")=6),"Intégré","À faire")</x:f>
        <x:v>Intégré</x:v>
      </x:c>
      <x:c r="G104" s="27" t="n">
        <x:f>COUNTIF(I104:P104,"Présent")</x:f>
        <x:v>8</x:v>
      </x:c>
      <x:c r="H104" s="24" t="str">
        <x:v>Archivé local</x:v>
      </x:c>
      <x:c r="I104" s="24" t="str">
        <x:v>Présent</x:v>
      </x:c>
      <x:c r="J104" s="24" t="str">
        <x:v>Présent</x:v>
      </x:c>
      <x:c r="K104" s="24" t="str">
        <x:v>Présent</x:v>
      </x:c>
      <x:c r="L104" s="24" t="str">
        <x:v>Présent</x:v>
      </x:c>
      <x:c r="M104" s="24" t="str">
        <x:v>Présent</x:v>
      </x:c>
      <x:c r="N104" s="24" t="str">
        <x:v>Présent</x:v>
      </x:c>
      <x:c r="O104" s="24" t="str">
        <x:v>Présent</x:v>
      </x:c>
      <x:c r="P104" s="24" t="str">
        <x:v>Présent</x:v>
      </x:c>
      <x:c r="Q104" s="24" t="str">
        <x:v>Atlas</x:v>
      </x:c>
      <x:c r="R104" s="24" t="str">
        <x:v>Atlas</x:v>
      </x:c>
      <x:c r="S104" s="24" t="str">
        <x:v>Atlas</x:v>
      </x:c>
      <x:c r="T104" s="24" t="str">
        <x:v>Atlas</x:v>
      </x:c>
      <x:c r="U104" s="24" t="str">
        <x:v>Atlas</x:v>
      </x:c>
      <x:c r="V104" s="24" t="str">
        <x:v>Atlas</x:v>
      </x:c>
      <x:c r="W104" s="24" t="str">
        <x:v>6/6 actuelles</x:v>
      </x:c>
      <x:c r="X104" s="24" t="str">
        <x:v>6/6 actuelles</x:v>
      </x:c>
      <x:c r="Y104" s="24" t="str">
        <x:v>Non consignée</x:v>
      </x:c>
      <x:c r="Z104" s="24" t="str">
        <x:v>Périmée (0/6)</x:v>
      </x:c>
      <x:c r="AA104" s="23" t="str">
        <x:v>Validation navigateur passée. Publication exacte en attente de Thanh.</x:v>
      </x:c>
      <x:c r="AB104" s="21" t="str">
        <x:v>674f752f62b3179c8a21300c7796024f5935efc1</x:v>
      </x:c>
      <x:c r="AC104" s="21" t="str">
        <x:v>En cours</x:v>
      </x:c>
    </x:row>
    <x:row r="105" ht="40" customHeight="1">
      <x:c r="A105" s="22" t="str">
        <x:v>Bateau</x:v>
      </x:c>
      <x:c r="B105" s="22" t="str">
        <x:v>boat</x:v>
      </x:c>
      <x:c r="C105" s="26" t="n">
        <x:v>95</x:v>
      </x:c>
      <x:c r="D105" s="24" t="str">
        <x:v>Lot 09</x:v>
      </x:c>
      <x:c r="E105" s="25" t="str">
        <x:v>Objets</x:v>
      </x:c>
      <x:c r="F105" s="24" t="str">
        <x:f>IF(AND(G105=8,COUNTIF(Q105:V105,"Atlas")=6),"Intégré","À faire")</x:f>
        <x:v>Intégré</x:v>
      </x:c>
      <x:c r="G105" s="27" t="n">
        <x:f>COUNTIF(I105:P105,"Présent")</x:f>
        <x:v>8</x:v>
      </x:c>
      <x:c r="H105" s="24" t="str">
        <x:v>Archivé local</x:v>
      </x:c>
      <x:c r="I105" s="24" t="str">
        <x:v>Présent</x:v>
      </x:c>
      <x:c r="J105" s="24" t="str">
        <x:v>Présent</x:v>
      </x:c>
      <x:c r="K105" s="24" t="str">
        <x:v>Présent</x:v>
      </x:c>
      <x:c r="L105" s="24" t="str">
        <x:v>Présent</x:v>
      </x:c>
      <x:c r="M105" s="24" t="str">
        <x:v>Présent</x:v>
      </x:c>
      <x:c r="N105" s="24" t="str">
        <x:v>Présent</x:v>
      </x:c>
      <x:c r="O105" s="24" t="str">
        <x:v>Présent</x:v>
      </x:c>
      <x:c r="P105" s="24" t="str">
        <x:v>Présent</x:v>
      </x:c>
      <x:c r="Q105" s="24" t="str">
        <x:v>Atlas</x:v>
      </x:c>
      <x:c r="R105" s="24" t="str">
        <x:v>Atlas</x:v>
      </x:c>
      <x:c r="S105" s="24" t="str">
        <x:v>Atlas</x:v>
      </x:c>
      <x:c r="T105" s="24" t="str">
        <x:v>Atlas</x:v>
      </x:c>
      <x:c r="U105" s="24" t="str">
        <x:v>Atlas</x:v>
      </x:c>
      <x:c r="V105" s="24" t="str">
        <x:v>Atlas</x:v>
      </x:c>
      <x:c r="W105" s="24" t="str">
        <x:v>6/6 actuelles</x:v>
      </x:c>
      <x:c r="X105" s="24" t="str">
        <x:v>6/6 actuelles</x:v>
      </x:c>
      <x:c r="Y105" s="24" t="str">
        <x:v>Non consignée</x:v>
      </x:c>
      <x:c r="Z105" s="24" t="str">
        <x:v>Périmée (0/6)</x:v>
      </x:c>
      <x:c r="AA105" s="23" t="str">
        <x:v>Validation navigateur passée. Publication exacte en attente de Thanh.</x:v>
      </x:c>
      <x:c r="AB105" s="21" t="str">
        <x:v>674f752f62b3179c8a21300c7796024f5935efc1</x:v>
      </x:c>
      <x:c r="AC105" s="21" t="str">
        <x:v>En cours</x:v>
      </x:c>
    </x:row>
    <x:row r="106" ht="40" customHeight="1">
      <x:c r="A106" s="22" t="str">
        <x:v>Bouche</x:v>
      </x:c>
      <x:c r="B106" s="22" t="str">
        <x:v>mouth</x:v>
      </x:c>
      <x:c r="C106" s="26" t="n">
        <x:v>96</x:v>
      </x:c>
      <x:c r="D106" s="24" t="str">
        <x:v>Lot 08</x:v>
      </x:c>
      <x:c r="E106" s="25" t="str">
        <x:v>Corps</x:v>
      </x:c>
      <x:c r="F106" s="24" t="str">
        <x:f>IF(AND(G106=8,COUNTIF(Q106:V106,"Atlas")=6),"Intégré","À faire")</x:f>
        <x:v>Intégré</x:v>
      </x:c>
      <x:c r="G106" s="27" t="n">
        <x:f>COUNTIF(I106:P106,"Présent")</x:f>
        <x:v>8</x:v>
      </x:c>
      <x:c r="H106" s="24" t="str">
        <x:v>Archivé Drive</x:v>
      </x:c>
      <x:c r="I106" s="24" t="str">
        <x:v>Présent</x:v>
      </x:c>
      <x:c r="J106" s="24" t="str">
        <x:v>Présent</x:v>
      </x:c>
      <x:c r="K106" s="24" t="str">
        <x:v>Présent</x:v>
      </x:c>
      <x:c r="L106" s="24" t="str">
        <x:v>Présent</x:v>
      </x:c>
      <x:c r="M106" s="24" t="str">
        <x:v>Présent</x:v>
      </x:c>
      <x:c r="N106" s="24" t="str">
        <x:v>Présent</x:v>
      </x:c>
      <x:c r="O106" s="24" t="str">
        <x:v>Présent</x:v>
      </x:c>
      <x:c r="P106" s="24" t="str">
        <x:v>Présent</x:v>
      </x:c>
      <x:c r="Q106" s="24" t="str">
        <x:v>Atlas</x:v>
      </x:c>
      <x:c r="R106" s="24" t="str">
        <x:v>Atlas</x:v>
      </x:c>
      <x:c r="S106" s="24" t="str">
        <x:v>Atlas</x:v>
      </x:c>
      <x:c r="T106" s="24" t="str">
        <x:v>Atlas</x:v>
      </x:c>
      <x:c r="U106" s="24" t="str">
        <x:v>Atlas</x:v>
      </x:c>
      <x:c r="V106" s="24" t="str">
        <x:v>Atlas</x:v>
      </x:c>
      <x:c r="W106" s="24" t="str">
        <x:v>6/6 actuelles</x:v>
      </x:c>
      <x:c r="X106" s="24" t="str">
        <x:v>6/6 actuelles</x:v>
      </x:c>
      <x:c r="Y106" s="24" t="str">
        <x:v>Non consignée</x:v>
      </x:c>
      <x:c r="Z106" s="24" t="str">
        <x:v>Périmée (0/6)</x:v>
      </x:c>
      <x:c r="AA106" s="23" t="str">
        <x:v>Validation navigateur passée. Publication exacte en attente de Thanh.</x:v>
      </x:c>
      <x:c r="AB106" s="21" t="str">
        <x:v>674f752f62b3179c8a21300c7796024f5935efc1</x:v>
      </x:c>
      <x:c r="AC106" s="21" t="str">
        <x:v>En cours</x:v>
      </x:c>
    </x:row>
    <x:row r="107" ht="40" customHeight="1">
      <x:c r="A107" s="22" t="str">
        <x:v>Bus</x:v>
      </x:c>
      <x:c r="B107" s="22" t="str">
        <x:v>bus</x:v>
      </x:c>
      <x:c r="C107" s="26" t="n">
        <x:v>97</x:v>
      </x:c>
      <x:c r="D107" s="24" t="str">
        <x:v>Lot 10</x:v>
      </x:c>
      <x:c r="E107" s="25" t="str">
        <x:v>Objets</x:v>
      </x:c>
      <x:c r="F107" s="24" t="str">
        <x:f>IF(AND(G107=8,COUNTIF(Q107:V107,"Atlas")=6),"Intégré","À faire")</x:f>
        <x:v>Intégré</x:v>
      </x:c>
      <x:c r="G107" s="27" t="n">
        <x:f>COUNTIF(I107:P107,"Présent")</x:f>
        <x:v>8</x:v>
      </x:c>
      <x:c r="H107" s="24" t="str">
        <x:v>Archivé Drive</x:v>
      </x:c>
      <x:c r="I107" s="24" t="str">
        <x:v>Présent</x:v>
      </x:c>
      <x:c r="J107" s="24" t="str">
        <x:v>Présent</x:v>
      </x:c>
      <x:c r="K107" s="24" t="str">
        <x:v>Présent</x:v>
      </x:c>
      <x:c r="L107" s="24" t="str">
        <x:v>Présent</x:v>
      </x:c>
      <x:c r="M107" s="24" t="str">
        <x:v>Présent</x:v>
      </x:c>
      <x:c r="N107" s="24" t="str">
        <x:v>Présent</x:v>
      </x:c>
      <x:c r="O107" s="24" t="str">
        <x:v>Présent</x:v>
      </x:c>
      <x:c r="P107" s="24" t="str">
        <x:v>Présent</x:v>
      </x:c>
      <x:c r="Q107" s="24" t="str">
        <x:v>Atlas</x:v>
      </x:c>
      <x:c r="R107" s="24" t="str">
        <x:v>Atlas</x:v>
      </x:c>
      <x:c r="S107" s="24" t="str">
        <x:v>Atlas</x:v>
      </x:c>
      <x:c r="T107" s="24" t="str">
        <x:v>Atlas</x:v>
      </x:c>
      <x:c r="U107" s="24" t="str">
        <x:v>Atlas</x:v>
      </x:c>
      <x:c r="V107" s="24" t="str">
        <x:v>Atlas</x:v>
      </x:c>
      <x:c r="W107" s="24" t="str">
        <x:v>6/6 actuelles</x:v>
      </x:c>
      <x:c r="X107" s="24" t="str">
        <x:v>6/6 actuelles</x:v>
      </x:c>
      <x:c r="Y107" s="24" t="str">
        <x:v>Non consignée</x:v>
      </x:c>
      <x:c r="Z107" s="24" t="str">
        <x:v>Périmée (0/6)</x:v>
      </x:c>
      <x:c r="AA107" s="23" t="str">
        <x:v>Validation navigateur passée. Publication exacte en attente de Thanh.</x:v>
      </x:c>
      <x:c r="AB107" s="21" t="str">
        <x:v>674f752f62b3179c8a21300c7796024f5935efc1</x:v>
      </x:c>
      <x:c r="AC107" s="21" t="str">
        <x:v>En cours</x:v>
      </x:c>
    </x:row>
    <x:row r="108" ht="40" customHeight="1">
      <x:c r="A108" s="22" t="str">
        <x:v>Caca</x:v>
      </x:c>
      <x:c r="B108" s="22" t="str">
        <x:v>excrement</x:v>
      </x:c>
      <x:c r="C108" s="26" t="n">
        <x:v>98</x:v>
      </x:c>
      <x:c r="D108" s="24" t="str">
        <x:v>Lot 12</x:v>
      </x:c>
      <x:c r="E108" s="25" t="str">
        <x:v>Corps</x:v>
      </x:c>
      <x:c r="F108" s="24" t="str">
        <x:f>IF(AND(G108=8,COUNTIF(Q108:V108,"Atlas")=6),"Intégré","À faire")</x:f>
        <x:v>Intégré</x:v>
      </x:c>
      <x:c r="G108" s="27" t="n">
        <x:f>COUNTIF(I108:P108,"Présent")</x:f>
        <x:v>8</x:v>
      </x:c>
      <x:c r="H108" s="24" t="str">
        <x:v>Archivé Drive</x:v>
      </x:c>
      <x:c r="I108" s="24" t="str">
        <x:v>Présent</x:v>
      </x:c>
      <x:c r="J108" s="24" t="str">
        <x:v>Présent</x:v>
      </x:c>
      <x:c r="K108" s="24" t="str">
        <x:v>Présent</x:v>
      </x:c>
      <x:c r="L108" s="24" t="str">
        <x:v>Présent</x:v>
      </x:c>
      <x:c r="M108" s="24" t="str">
        <x:v>Présent</x:v>
      </x:c>
      <x:c r="N108" s="24" t="str">
        <x:v>Présent</x:v>
      </x:c>
      <x:c r="O108" s="24" t="str">
        <x:v>Présent</x:v>
      </x:c>
      <x:c r="P108" s="24" t="str">
        <x:v>Présent</x:v>
      </x:c>
      <x:c r="Q108" s="24" t="str">
        <x:v>Atlas</x:v>
      </x:c>
      <x:c r="R108" s="24" t="str">
        <x:v>Atlas</x:v>
      </x:c>
      <x:c r="S108" s="24" t="str">
        <x:v>Atlas</x:v>
      </x:c>
      <x:c r="T108" s="24" t="str">
        <x:v>Atlas</x:v>
      </x:c>
      <x:c r="U108" s="24" t="str">
        <x:v>Atlas</x:v>
      </x:c>
      <x:c r="V108" s="24" t="str">
        <x:v>Atlas</x:v>
      </x:c>
      <x:c r="W108" s="24" t="str">
        <x:v>6/6 actuelles</x:v>
      </x:c>
      <x:c r="X108" s="24" t="str">
        <x:v>6/6 actuelles</x:v>
      </x:c>
      <x:c r="Y108" s="24" t="str">
        <x:v>Non consignée</x:v>
      </x:c>
      <x:c r="Z108" s="24" t="str">
        <x:v>Périmée (0/6)</x:v>
      </x:c>
      <x:c r="AA108" s="23" t="str">
        <x:v>Validation navigateur passée. Publication exacte en attente de Thanh.</x:v>
      </x:c>
      <x:c r="AB108" s="21" t="str">
        <x:v>674f752f62b3179c8a21300c7796024f5935efc1</x:v>
      </x:c>
      <x:c r="AC108" s="21" t="str">
        <x:v>En cours</x:v>
      </x:c>
    </x:row>
    <x:row r="109" ht="40" customHeight="1">
      <x:c r="A109" s="22" t="str">
        <x:v>Cafard</x:v>
      </x:c>
      <x:c r="B109" s="22" t="str">
        <x:v>cockroach</x:v>
      </x:c>
      <x:c r="C109" s="26" t="n">
        <x:v>99</x:v>
      </x:c>
      <x:c r="D109" s="24" t="str">
        <x:v>Lot 12</x:v>
      </x:c>
      <x:c r="E109" s="25" t="str">
        <x:v>Animaux</x:v>
      </x:c>
      <x:c r="F109" s="24" t="str">
        <x:f>IF(AND(G109=8,COUNTIF(Q109:V109,"Atlas")=6),"Intégré","À faire")</x:f>
        <x:v>Intégré</x:v>
      </x:c>
      <x:c r="G109" s="27" t="n">
        <x:f>COUNTIF(I109:P109,"Présent")</x:f>
        <x:v>8</x:v>
      </x:c>
      <x:c r="H109" s="24" t="str">
        <x:v>Archivé Drive</x:v>
      </x:c>
      <x:c r="I109" s="24" t="str">
        <x:v>Présent</x:v>
      </x:c>
      <x:c r="J109" s="24" t="str">
        <x:v>Présent</x:v>
      </x:c>
      <x:c r="K109" s="24" t="str">
        <x:v>Présent</x:v>
      </x:c>
      <x:c r="L109" s="24" t="str">
        <x:v>Présent</x:v>
      </x:c>
      <x:c r="M109" s="24" t="str">
        <x:v>Présent</x:v>
      </x:c>
      <x:c r="N109" s="24" t="str">
        <x:v>Présent</x:v>
      </x:c>
      <x:c r="O109" s="24" t="str">
        <x:v>Présent</x:v>
      </x:c>
      <x:c r="P109" s="24" t="str">
        <x:v>Présent</x:v>
      </x:c>
      <x:c r="Q109" s="24" t="str">
        <x:v>Atlas</x:v>
      </x:c>
      <x:c r="R109" s="24" t="str">
        <x:v>Atlas</x:v>
      </x:c>
      <x:c r="S109" s="24" t="str">
        <x:v>Atlas</x:v>
      </x:c>
      <x:c r="T109" s="24" t="str">
        <x:v>Atlas</x:v>
      </x:c>
      <x:c r="U109" s="24" t="str">
        <x:v>Atlas</x:v>
      </x:c>
      <x:c r="V109" s="24" t="str">
        <x:v>Atlas</x:v>
      </x:c>
      <x:c r="W109" s="24" t="str">
        <x:v>6/6 actuelles</x:v>
      </x:c>
      <x:c r="X109" s="24" t="str">
        <x:v>6/6 actuelles</x:v>
      </x:c>
      <x:c r="Y109" s="24" t="str">
        <x:v>Non consignée</x:v>
      </x:c>
      <x:c r="Z109" s="24" t="str">
        <x:v>Périmée (0/6)</x:v>
      </x:c>
      <x:c r="AA109" s="23" t="str">
        <x:v>Validation navigateur passée. Publication exacte en attente de Thanh.</x:v>
      </x:c>
      <x:c r="AB109" s="21" t="str">
        <x:v>674f752f62b3179c8a21300c7796024f5935efc1</x:v>
      </x:c>
      <x:c r="AC109" s="21" t="str">
        <x:v>En cours</x:v>
      </x:c>
    </x:row>
    <x:row r="110" ht="40" customHeight="1">
      <x:c r="A110" s="22" t="str">
        <x:v>Cascade</x:v>
      </x:c>
      <x:c r="B110" s="22" t="str">
        <x:v>waterfall</x:v>
      </x:c>
      <x:c r="C110" s="26" t="n">
        <x:v>100</x:v>
      </x:c>
      <x:c r="D110" s="24" t="str">
        <x:v>Lot 12 (master)</x:v>
      </x:c>
      <x:c r="E110" s="25" t="str">
        <x:v>Nature</x:v>
      </x:c>
      <x:c r="F110" s="24" t="str">
        <x:f>IF(AND(G110=8,COUNTIF(Q110:V110,"Atlas")=6),"Intégré","À faire")</x:f>
        <x:v>Intégré</x:v>
      </x:c>
      <x:c r="G110" s="27" t="n">
        <x:f>COUNTIF(I110:P110,"Présent")</x:f>
        <x:v>8</x:v>
      </x:c>
      <x:c r="H110" s="24" t="str">
        <x:v>Archive Drive</x:v>
      </x:c>
      <x:c r="I110" s="24" t="str">
        <x:v>Présent</x:v>
      </x:c>
      <x:c r="J110" s="24" t="str">
        <x:v>Présent</x:v>
      </x:c>
      <x:c r="K110" s="24" t="str">
        <x:v>Présent</x:v>
      </x:c>
      <x:c r="L110" s="24" t="str">
        <x:v>Présent</x:v>
      </x:c>
      <x:c r="M110" s="24" t="str">
        <x:v>Présent</x:v>
      </x:c>
      <x:c r="N110" s="24" t="str">
        <x:v>Présent</x:v>
      </x:c>
      <x:c r="O110" s="24" t="str">
        <x:v>Présent</x:v>
      </x:c>
      <x:c r="P110" s="24" t="str">
        <x:v>Présent</x:v>
      </x:c>
      <x:c r="Q110" s="24" t="str">
        <x:v>Atlas</x:v>
      </x:c>
      <x:c r="R110" s="24" t="str">
        <x:v>Atlas</x:v>
      </x:c>
      <x:c r="S110" s="24" t="str">
        <x:v>Atlas</x:v>
      </x:c>
      <x:c r="T110" s="24" t="str">
        <x:v>Atlas</x:v>
      </x:c>
      <x:c r="U110" s="24" t="str">
        <x:v>Atlas</x:v>
      </x:c>
      <x:c r="V110" s="24" t="str">
        <x:v>Atlas</x:v>
      </x:c>
      <x:c r="W110" s="24" t="str">
        <x:v>6/6 actuelles</x:v>
      </x:c>
      <x:c r="X110" s="24" t="str">
        <x:v>6/6 actuelles</x:v>
      </x:c>
      <x:c r="Y110" s="24" t="str">
        <x:v>Non consignée</x:v>
      </x:c>
      <x:c r="Z110" s="24" t="str">
        <x:v>Périmée (0/6)</x:v>
      </x:c>
      <x:c r="AA110" s="23" t="str">
        <x:v>Validation navigateur passée. Publication exacte en attente de Thanh.</x:v>
      </x:c>
      <x:c r="AB110" s="21" t="str">
        <x:v>674f752f62b3179c8a21300c7796024f5935efc1</x:v>
      </x:c>
      <x:c r="AC110" s="21" t="str">
        <x:v>En cours</x:v>
      </x:c>
    </x:row>
    <x:row r="111" ht="40" customHeight="1">
      <x:c r="A111" s="22" t="str">
        <x:v>Célébrité</x:v>
      </x:c>
      <x:c r="B111" s="22" t="str">
        <x:v>celebrity</x:v>
      </x:c>
      <x:c r="C111" s="26" t="n">
        <x:v>101</x:v>
      </x:c>
      <x:c r="D111" s="24" t="str">
        <x:v>Lot 13</x:v>
      </x:c>
      <x:c r="E111" s="25" t="str">
        <x:v>Personnes</x:v>
      </x:c>
      <x:c r="F111" s="24" t="str">
        <x:f>IF(AND(G111=8,COUNTIF(Q111:V111,"Atlas")=6),"Intégré","À faire")</x:f>
        <x:v>Intégré</x:v>
      </x:c>
      <x:c r="G111" s="27" t="n">
        <x:f>COUNTIF(I111:P111,"Présent")</x:f>
        <x:v>8</x:v>
      </x:c>
      <x:c r="H111" s="24" t="str">
        <x:v>Archivé Drive</x:v>
      </x:c>
      <x:c r="I111" s="24" t="str">
        <x:v>Présent</x:v>
      </x:c>
      <x:c r="J111" s="24" t="str">
        <x:v>Présent</x:v>
      </x:c>
      <x:c r="K111" s="24" t="str">
        <x:v>Présent</x:v>
      </x:c>
      <x:c r="L111" s="24" t="str">
        <x:v>Présent</x:v>
      </x:c>
      <x:c r="M111" s="24" t="str">
        <x:v>Présent</x:v>
      </x:c>
      <x:c r="N111" s="24" t="str">
        <x:v>Présent</x:v>
      </x:c>
      <x:c r="O111" s="24" t="str">
        <x:v>Présent</x:v>
      </x:c>
      <x:c r="P111" s="24" t="str">
        <x:v>Présent</x:v>
      </x:c>
      <x:c r="Q111" s="24" t="str">
        <x:v>Atlas</x:v>
      </x:c>
      <x:c r="R111" s="24" t="str">
        <x:v>Atlas</x:v>
      </x:c>
      <x:c r="S111" s="24" t="str">
        <x:v>Atlas</x:v>
      </x:c>
      <x:c r="T111" s="24" t="str">
        <x:v>Atlas</x:v>
      </x:c>
      <x:c r="U111" s="24" t="str">
        <x:v>Atlas</x:v>
      </x:c>
      <x:c r="V111" s="24" t="str">
        <x:v>Atlas</x:v>
      </x:c>
      <x:c r="W111" s="24" t="str">
        <x:v>6/6 actuelles</x:v>
      </x:c>
      <x:c r="X111" s="24" t="str">
        <x:v>6/6 actuelles</x:v>
      </x:c>
      <x:c r="Y111" s="24" t="str">
        <x:v>Non consignée</x:v>
      </x:c>
      <x:c r="Z111" s="24" t="str">
        <x:v>Périmée (0/6)</x:v>
      </x:c>
      <x:c r="AA111" s="23" t="str">
        <x:v>Validation navigateur passée. Publication exacte en attente de Thanh.</x:v>
      </x:c>
      <x:c r="AB111" s="21" t="str">
        <x:v>674f752f62b3179c8a21300c7796024f5935efc1</x:v>
      </x:c>
      <x:c r="AC111" s="21" t="str">
        <x:v>En cours</x:v>
      </x:c>
    </x:row>
    <x:row r="112" ht="40" customHeight="1">
      <x:c r="A112" s="22" t="str">
        <x:v>Centre commercial</x:v>
      </x:c>
      <x:c r="B112" s="22" t="str">
        <x:v>mall</x:v>
      </x:c>
      <x:c r="C112" s="26" t="n">
        <x:v>102</x:v>
      </x:c>
      <x:c r="D112" s="24" t="str">
        <x:v>Lot 12</x:v>
      </x:c>
      <x:c r="E112" s="25" t="str">
        <x:v>Lieux</x:v>
      </x:c>
      <x:c r="F112" s="24" t="str">
        <x:f>IF(AND(G112=8,COUNTIF(Q112:V112,"Atlas")=6),"Intégré","À faire")</x:f>
        <x:v>Intégré</x:v>
      </x:c>
      <x:c r="G112" s="27" t="n">
        <x:f>COUNTIF(I112:P112,"Présent")</x:f>
        <x:v>8</x:v>
      </x:c>
      <x:c r="H112" s="24" t="str">
        <x:v>Archivé Drive</x:v>
      </x:c>
      <x:c r="I112" s="24" t="str">
        <x:v>Présent</x:v>
      </x:c>
      <x:c r="J112" s="24" t="str">
        <x:v>Présent</x:v>
      </x:c>
      <x:c r="K112" s="24" t="str">
        <x:v>Présent</x:v>
      </x:c>
      <x:c r="L112" s="24" t="str">
        <x:v>Présent</x:v>
      </x:c>
      <x:c r="M112" s="24" t="str">
        <x:v>Présent</x:v>
      </x:c>
      <x:c r="N112" s="24" t="str">
        <x:v>Présent</x:v>
      </x:c>
      <x:c r="O112" s="24" t="str">
        <x:v>Présent</x:v>
      </x:c>
      <x:c r="P112" s="24" t="str">
        <x:v>Présent</x:v>
      </x:c>
      <x:c r="Q112" s="24" t="str">
        <x:v>Atlas</x:v>
      </x:c>
      <x:c r="R112" s="24" t="str">
        <x:v>Atlas</x:v>
      </x:c>
      <x:c r="S112" s="24" t="str">
        <x:v>Atlas</x:v>
      </x:c>
      <x:c r="T112" s="24" t="str">
        <x:v>Atlas</x:v>
      </x:c>
      <x:c r="U112" s="24" t="str">
        <x:v>Atlas</x:v>
      </x:c>
      <x:c r="V112" s="24" t="str">
        <x:v>Atlas</x:v>
      </x:c>
      <x:c r="W112" s="24" t="str">
        <x:v>6/6 actuelles</x:v>
      </x:c>
      <x:c r="X112" s="24" t="str">
        <x:v>6/6 actuelles</x:v>
      </x:c>
      <x:c r="Y112" s="24" t="str">
        <x:v>Non consignée</x:v>
      </x:c>
      <x:c r="Z112" s="24" t="str">
        <x:v>Périmée (0/6)</x:v>
      </x:c>
      <x:c r="AA112" s="23" t="str">
        <x:v>Validation navigateur passée. Publication exacte en attente de Thanh.</x:v>
      </x:c>
      <x:c r="AB112" s="21" t="str">
        <x:v>674f752f62b3179c8a21300c7796024f5935efc1</x:v>
      </x:c>
      <x:c r="AC112" s="21" t="str">
        <x:v>En cours</x:v>
      </x:c>
    </x:row>
    <x:row r="113" ht="40" customHeight="1">
      <x:c r="A113" s="22" t="str">
        <x:v>Cercueil</x:v>
      </x:c>
      <x:c r="B113" s="22" t="str">
        <x:v>coffin</x:v>
      </x:c>
      <x:c r="C113" s="26" t="n">
        <x:v>103</x:v>
      </x:c>
      <x:c r="D113" s="24" t="str">
        <x:v>Lot 14</x:v>
      </x:c>
      <x:c r="E113" s="25" t="str">
        <x:v>Objets</x:v>
      </x:c>
      <x:c r="F113" s="24" t="str">
        <x:f>IF(AND(G113=8,COUNTIF(Q113:V113,"Atlas")=6),"Intégré","À faire")</x:f>
        <x:v>Intégré</x:v>
      </x:c>
      <x:c r="G113" s="27" t="n">
        <x:f>COUNTIF(I113:P113,"Présent")</x:f>
        <x:v>8</x:v>
      </x:c>
      <x:c r="H113" s="24" t="str">
        <x:v>Archivé Drive</x:v>
      </x:c>
      <x:c r="I113" s="24" t="str">
        <x:v>Présent</x:v>
      </x:c>
      <x:c r="J113" s="24" t="str">
        <x:v>Présent</x:v>
      </x:c>
      <x:c r="K113" s="24" t="str">
        <x:v>Présent</x:v>
      </x:c>
      <x:c r="L113" s="24" t="str">
        <x:v>Présent</x:v>
      </x:c>
      <x:c r="M113" s="24" t="str">
        <x:v>Présent</x:v>
      </x:c>
      <x:c r="N113" s="24" t="str">
        <x:v>Présent</x:v>
      </x:c>
      <x:c r="O113" s="24" t="str">
        <x:v>Présent</x:v>
      </x:c>
      <x:c r="P113" s="24" t="str">
        <x:v>Présent</x:v>
      </x:c>
      <x:c r="Q113" s="24" t="str">
        <x:v>Atlas</x:v>
      </x:c>
      <x:c r="R113" s="24" t="str">
        <x:v>Atlas</x:v>
      </x:c>
      <x:c r="S113" s="24" t="str">
        <x:v>Atlas</x:v>
      </x:c>
      <x:c r="T113" s="24" t="str">
        <x:v>Atlas</x:v>
      </x:c>
      <x:c r="U113" s="24" t="str">
        <x:v>Atlas</x:v>
      </x:c>
      <x:c r="V113" s="24" t="str">
        <x:v>Atlas</x:v>
      </x:c>
      <x:c r="W113" s="24" t="str">
        <x:v>6/6 actuelles</x:v>
      </x:c>
      <x:c r="X113" s="24" t="str">
        <x:v>6/6 actuelles</x:v>
      </x:c>
      <x:c r="Y113" s="24" t="str">
        <x:v>Non consignée</x:v>
      </x:c>
      <x:c r="Z113" s="24" t="str">
        <x:v>Périmée (0/6)</x:v>
      </x:c>
      <x:c r="AA113" s="23" t="str">
        <x:v>Validation navigateur passée. Publication exacte en attente de Thanh.</x:v>
      </x:c>
      <x:c r="AB113" s="21" t="str">
        <x:v>674f752f62b3179c8a21300c7796024f5935efc1</x:v>
      </x:c>
      <x:c r="AC113" s="21" t="str">
        <x:v>En cours</x:v>
      </x:c>
    </x:row>
    <x:row r="114" ht="40" customHeight="1">
      <x:c r="A114" s="22" t="str">
        <x:v>Cerf / Biche</x:v>
      </x:c>
      <x:c r="B114" s="22" t="str">
        <x:v>deer</x:v>
      </x:c>
      <x:c r="C114" s="26" t="n">
        <x:v>104</x:v>
      </x:c>
      <x:c r="D114" s="24" t="str">
        <x:v>Lot 13</x:v>
      </x:c>
      <x:c r="E114" s="25" t="str">
        <x:v>Animaux</x:v>
      </x:c>
      <x:c r="F114" s="24" t="str">
        <x:f>IF(AND(G114=8,COUNTIF(Q114:V114,"Atlas")=6),"Intégré","À faire")</x:f>
        <x:v>Intégré</x:v>
      </x:c>
      <x:c r="G114" s="27" t="n">
        <x:f>COUNTIF(I114:P114,"Présent")</x:f>
        <x:v>8</x:v>
      </x:c>
      <x:c r="H114" s="24" t="str">
        <x:v>Archivé Drive</x:v>
      </x:c>
      <x:c r="I114" s="24" t="str">
        <x:v>Présent</x:v>
      </x:c>
      <x:c r="J114" s="24" t="str">
        <x:v>Présent</x:v>
      </x:c>
      <x:c r="K114" s="24" t="str">
        <x:v>Présent</x:v>
      </x:c>
      <x:c r="L114" s="24" t="str">
        <x:v>Présent</x:v>
      </x:c>
      <x:c r="M114" s="24" t="str">
        <x:v>Présent</x:v>
      </x:c>
      <x:c r="N114" s="24" t="str">
        <x:v>Présent</x:v>
      </x:c>
      <x:c r="O114" s="24" t="str">
        <x:v>Présent</x:v>
      </x:c>
      <x:c r="P114" s="24" t="str">
        <x:v>Présent</x:v>
      </x:c>
      <x:c r="Q114" s="24" t="str">
        <x:v>Atlas</x:v>
      </x:c>
      <x:c r="R114" s="24" t="str">
        <x:v>Atlas</x:v>
      </x:c>
      <x:c r="S114" s="24" t="str">
        <x:v>Atlas</x:v>
      </x:c>
      <x:c r="T114" s="24" t="str">
        <x:v>Atlas</x:v>
      </x:c>
      <x:c r="U114" s="24" t="str">
        <x:v>Atlas</x:v>
      </x:c>
      <x:c r="V114" s="24" t="str">
        <x:v>Atlas</x:v>
      </x:c>
      <x:c r="W114" s="24" t="str">
        <x:v>6/6 actuelles</x:v>
      </x:c>
      <x:c r="X114" s="24" t="str">
        <x:v>6/6 actuelles</x:v>
      </x:c>
      <x:c r="Y114" s="24" t="str">
        <x:v>Non consignée</x:v>
      </x:c>
      <x:c r="Z114" s="24" t="str">
        <x:v>Périmée (0/6)</x:v>
      </x:c>
      <x:c r="AA114" s="23" t="str">
        <x:v>Validation navigateur passée. Publication exacte en attente de Thanh.</x:v>
      </x:c>
      <x:c r="AB114" s="21" t="str">
        <x:v>674f752f62b3179c8a21300c7796024f5935efc1</x:v>
      </x:c>
      <x:c r="AC114" s="21" t="str">
        <x:v>En cours</x:v>
      </x:c>
    </x:row>
    <x:row r="115" ht="40" customHeight="1">
      <x:c r="A115" s="22" t="str">
        <x:v>Chambre</x:v>
      </x:c>
      <x:c r="B115" s="22" t="str">
        <x:v>bedroom</x:v>
      </x:c>
      <x:c r="C115" s="26" t="n">
        <x:v>105</x:v>
      </x:c>
      <x:c r="D115" s="24" t="str">
        <x:v>Lot 10</x:v>
      </x:c>
      <x:c r="E115" s="25" t="str">
        <x:v>Lieux</x:v>
      </x:c>
      <x:c r="F115" s="24" t="str">
        <x:f>IF(AND(G115=8,COUNTIF(Q115:V115,"Atlas")=6),"Intégré","À faire")</x:f>
        <x:v>Intégré</x:v>
      </x:c>
      <x:c r="G115" s="27" t="n">
        <x:f>COUNTIF(I115:P115,"Présent")</x:f>
        <x:v>8</x:v>
      </x:c>
      <x:c r="H115" s="24" t="str">
        <x:v>Archivé Drive</x:v>
      </x:c>
      <x:c r="I115" s="24" t="str">
        <x:v>Présent</x:v>
      </x:c>
      <x:c r="J115" s="24" t="str">
        <x:v>Présent</x:v>
      </x:c>
      <x:c r="K115" s="24" t="str">
        <x:v>Présent</x:v>
      </x:c>
      <x:c r="L115" s="24" t="str">
        <x:v>Présent</x:v>
      </x:c>
      <x:c r="M115" s="24" t="str">
        <x:v>Présent</x:v>
      </x:c>
      <x:c r="N115" s="24" t="str">
        <x:v>Présent</x:v>
      </x:c>
      <x:c r="O115" s="24" t="str">
        <x:v>Présent</x:v>
      </x:c>
      <x:c r="P115" s="24" t="str">
        <x:v>Présent</x:v>
      </x:c>
      <x:c r="Q115" s="24" t="str">
        <x:v>Atlas</x:v>
      </x:c>
      <x:c r="R115" s="24" t="str">
        <x:v>Atlas</x:v>
      </x:c>
      <x:c r="S115" s="24" t="str">
        <x:v>Atlas</x:v>
      </x:c>
      <x:c r="T115" s="24" t="str">
        <x:v>Atlas</x:v>
      </x:c>
      <x:c r="U115" s="24" t="str">
        <x:v>Atlas</x:v>
      </x:c>
      <x:c r="V115" s="24" t="str">
        <x:v>Atlas</x:v>
      </x:c>
      <x:c r="W115" s="24" t="str">
        <x:v>6/6 actuelles</x:v>
      </x:c>
      <x:c r="X115" s="24" t="str">
        <x:v>6/6 actuelles</x:v>
      </x:c>
      <x:c r="Y115" s="24" t="str">
        <x:v>Non consignée</x:v>
      </x:c>
      <x:c r="Z115" s="24" t="str">
        <x:v>Périmée (0/6)</x:v>
      </x:c>
      <x:c r="AA115" s="23" t="str">
        <x:v>Validation navigateur passée. Publication exacte en attente de Thanh.</x:v>
      </x:c>
      <x:c r="AB115" s="21" t="str">
        <x:v>674f752f62b3179c8a21300c7796024f5935efc1</x:v>
      </x:c>
      <x:c r="AC115" s="21" t="str">
        <x:v>En cours</x:v>
      </x:c>
    </x:row>
    <x:row r="116" ht="40" customHeight="1">
      <x:c r="A116" s="22" t="str">
        <x:v>Chaussures</x:v>
      </x:c>
      <x:c r="B116" s="22" t="str">
        <x:v>shoes</x:v>
      </x:c>
      <x:c r="C116" s="26" t="n">
        <x:v>106</x:v>
      </x:c>
      <x:c r="D116" s="24" t="str">
        <x:v>Lot 12</x:v>
      </x:c>
      <x:c r="E116" s="25" t="str">
        <x:v>Objets</x:v>
      </x:c>
      <x:c r="F116" s="24" t="str">
        <x:f>IF(AND(G116=8,COUNTIF(Q116:V116,"Atlas")=6),"Intégré","À faire")</x:f>
        <x:v>Intégré</x:v>
      </x:c>
      <x:c r="G116" s="27" t="n">
        <x:f>COUNTIF(I116:P116,"Présent")</x:f>
        <x:v>8</x:v>
      </x:c>
      <x:c r="H116" s="24" t="str">
        <x:v>Archivé Drive</x:v>
      </x:c>
      <x:c r="I116" s="24" t="str">
        <x:v>Présent</x:v>
      </x:c>
      <x:c r="J116" s="24" t="str">
        <x:v>Présent</x:v>
      </x:c>
      <x:c r="K116" s="24" t="str">
        <x:v>Présent</x:v>
      </x:c>
      <x:c r="L116" s="24" t="str">
        <x:v>Présent</x:v>
      </x:c>
      <x:c r="M116" s="24" t="str">
        <x:v>Présent</x:v>
      </x:c>
      <x:c r="N116" s="24" t="str">
        <x:v>Présent</x:v>
      </x:c>
      <x:c r="O116" s="24" t="str">
        <x:v>Présent</x:v>
      </x:c>
      <x:c r="P116" s="24" t="str">
        <x:v>Présent</x:v>
      </x:c>
      <x:c r="Q116" s="24" t="str">
        <x:v>Atlas</x:v>
      </x:c>
      <x:c r="R116" s="24" t="str">
        <x:v>Atlas</x:v>
      </x:c>
      <x:c r="S116" s="24" t="str">
        <x:v>Atlas</x:v>
      </x:c>
      <x:c r="T116" s="24" t="str">
        <x:v>Atlas</x:v>
      </x:c>
      <x:c r="U116" s="24" t="str">
        <x:v>Atlas</x:v>
      </x:c>
      <x:c r="V116" s="24" t="str">
        <x:v>Atlas</x:v>
      </x:c>
      <x:c r="W116" s="24" t="str">
        <x:v>6/6 actuelles</x:v>
      </x:c>
      <x:c r="X116" s="24" t="str">
        <x:v>6/6 actuelles</x:v>
      </x:c>
      <x:c r="Y116" s="24" t="str">
        <x:v>Non consignée</x:v>
      </x:c>
      <x:c r="Z116" s="24" t="str">
        <x:v>Périmée (0/6)</x:v>
      </x:c>
      <x:c r="AA116" s="23" t="str">
        <x:v>Validation navigateur passée. Publication exacte en attente de Thanh.</x:v>
      </x:c>
      <x:c r="AB116" s="21" t="str">
        <x:v>674f752f62b3179c8a21300c7796024f5935efc1</x:v>
      </x:c>
      <x:c r="AC116" s="21" t="str">
        <x:v>En cours</x:v>
      </x:c>
    </x:row>
    <x:row r="117" ht="40" customHeight="1">
      <x:c r="A117" s="22" t="str">
        <x:v>Chauve-souris</x:v>
      </x:c>
      <x:c r="B117" s="22" t="str">
        <x:v>bat</x:v>
      </x:c>
      <x:c r="C117" s="26" t="n">
        <x:v>107</x:v>
      </x:c>
      <x:c r="D117" s="24" t="str">
        <x:v>Lot 13</x:v>
      </x:c>
      <x:c r="E117" s="25" t="str">
        <x:v>Animaux</x:v>
      </x:c>
      <x:c r="F117" s="24" t="str">
        <x:f>IF(AND(G117=8,COUNTIF(Q117:V117,"Atlas")=6),"Intégré","À faire")</x:f>
        <x:v>Intégré</x:v>
      </x:c>
      <x:c r="G117" s="27" t="n">
        <x:f>COUNTIF(I117:P117,"Présent")</x:f>
        <x:v>8</x:v>
      </x:c>
      <x:c r="H117" s="24" t="str">
        <x:v>Archivé Drive</x:v>
      </x:c>
      <x:c r="I117" s="24" t="str">
        <x:v>Présent</x:v>
      </x:c>
      <x:c r="J117" s="24" t="str">
        <x:v>Présent</x:v>
      </x:c>
      <x:c r="K117" s="24" t="str">
        <x:v>Présent</x:v>
      </x:c>
      <x:c r="L117" s="24" t="str">
        <x:v>Présent</x:v>
      </x:c>
      <x:c r="M117" s="24" t="str">
        <x:v>Présent</x:v>
      </x:c>
      <x:c r="N117" s="24" t="str">
        <x:v>Présent</x:v>
      </x:c>
      <x:c r="O117" s="24" t="str">
        <x:v>Présent</x:v>
      </x:c>
      <x:c r="P117" s="24" t="str">
        <x:v>Présent</x:v>
      </x:c>
      <x:c r="Q117" s="24" t="str">
        <x:v>Atlas</x:v>
      </x:c>
      <x:c r="R117" s="24" t="str">
        <x:v>Atlas</x:v>
      </x:c>
      <x:c r="S117" s="24" t="str">
        <x:v>Atlas</x:v>
      </x:c>
      <x:c r="T117" s="24" t="str">
        <x:v>Atlas</x:v>
      </x:c>
      <x:c r="U117" s="24" t="str">
        <x:v>Atlas</x:v>
      </x:c>
      <x:c r="V117" s="24" t="str">
        <x:v>Atlas</x:v>
      </x:c>
      <x:c r="W117" s="24" t="str">
        <x:v>6/6 actuelles</x:v>
      </x:c>
      <x:c r="X117" s="24" t="str">
        <x:v>6/6 actuelles</x:v>
      </x:c>
      <x:c r="Y117" s="24" t="str">
        <x:v>Non consignée</x:v>
      </x:c>
      <x:c r="Z117" s="24" t="str">
        <x:v>Périmée (0/6)</x:v>
      </x:c>
      <x:c r="AA117" s="23" t="str">
        <x:v>Validation navigateur passée. Publication exacte en attente de Thanh.</x:v>
      </x:c>
      <x:c r="AB117" s="21" t="str">
        <x:v>674f752f62b3179c8a21300c7796024f5935efc1</x:v>
      </x:c>
      <x:c r="AC117" s="21" t="str">
        <x:v>En cours</x:v>
      </x:c>
    </x:row>
    <x:row r="118" ht="40" customHeight="1">
      <x:c r="A118" s="22" t="str">
        <x:v>Chemin / Route</x:v>
      </x:c>
      <x:c r="B118" s="22" t="str">
        <x:v>path</x:v>
      </x:c>
      <x:c r="C118" s="26" t="n">
        <x:v>108</x:v>
      </x:c>
      <x:c r="D118" s="24" t="str">
        <x:v>Lot 08</x:v>
      </x:c>
      <x:c r="E118" s="25" t="str">
        <x:v>Lieux</x:v>
      </x:c>
      <x:c r="F118" s="24" t="str">
        <x:f>IF(AND(G118=8,COUNTIF(Q118:V118,"Atlas")=6),"Intégré","À faire")</x:f>
        <x:v>Intégré</x:v>
      </x:c>
      <x:c r="G118" s="27" t="n">
        <x:f>COUNTIF(I118:P118,"Présent")</x:f>
        <x:v>8</x:v>
      </x:c>
      <x:c r="H118" s="24" t="str">
        <x:v>Archivé Drive</x:v>
      </x:c>
      <x:c r="I118" s="24" t="str">
        <x:v>Présent</x:v>
      </x:c>
      <x:c r="J118" s="24" t="str">
        <x:v>Présent</x:v>
      </x:c>
      <x:c r="K118" s="24" t="str">
        <x:v>Présent</x:v>
      </x:c>
      <x:c r="L118" s="24" t="str">
        <x:v>Présent</x:v>
      </x:c>
      <x:c r="M118" s="24" t="str">
        <x:v>Présent</x:v>
      </x:c>
      <x:c r="N118" s="24" t="str">
        <x:v>Présent</x:v>
      </x:c>
      <x:c r="O118" s="24" t="str">
        <x:v>Présent</x:v>
      </x:c>
      <x:c r="P118" s="24" t="str">
        <x:v>Présent</x:v>
      </x:c>
      <x:c r="Q118" s="24" t="str">
        <x:v>Atlas</x:v>
      </x:c>
      <x:c r="R118" s="24" t="str">
        <x:v>Atlas</x:v>
      </x:c>
      <x:c r="S118" s="24" t="str">
        <x:v>Atlas</x:v>
      </x:c>
      <x:c r="T118" s="24" t="str">
        <x:v>Atlas</x:v>
      </x:c>
      <x:c r="U118" s="24" t="str">
        <x:v>Atlas</x:v>
      </x:c>
      <x:c r="V118" s="24" t="str">
        <x:v>Atlas</x:v>
      </x:c>
      <x:c r="W118" s="24" t="str">
        <x:v>6/6 actuelles</x:v>
      </x:c>
      <x:c r="X118" s="24" t="str">
        <x:v>6/6 actuelles</x:v>
      </x:c>
      <x:c r="Y118" s="24" t="str">
        <x:v>Non consignée</x:v>
      </x:c>
      <x:c r="Z118" s="24" t="str">
        <x:v>Périmée (0/6)</x:v>
      </x:c>
      <x:c r="AA118" s="23" t="str">
        <x:v>Validation navigateur passée. Publication exacte en attente de Thanh.</x:v>
      </x:c>
      <x:c r="AB118" s="21" t="str">
        <x:v>674f752f62b3179c8a21300c7796024f5935efc1</x:v>
      </x:c>
      <x:c r="AC118" s="21" t="str">
        <x:v>En cours</x:v>
      </x:c>
    </x:row>
    <x:row r="119" ht="40" customHeight="1">
      <x:c r="A119" s="22" t="str">
        <x:v>Cheveux</x:v>
      </x:c>
      <x:c r="B119" s="22" t="str">
        <x:v>hair</x:v>
      </x:c>
      <x:c r="C119" s="26" t="n">
        <x:v>109</x:v>
      </x:c>
      <x:c r="D119" s="24" t="str">
        <x:v>Lot 11</x:v>
      </x:c>
      <x:c r="E119" s="25" t="str">
        <x:v>Corps</x:v>
      </x:c>
      <x:c r="F119" s="24" t="str">
        <x:f>IF(AND(G119=8,COUNTIF(Q119:V119,"Atlas")=6),"Intégré","À faire")</x:f>
        <x:v>Intégré</x:v>
      </x:c>
      <x:c r="G119" s="27" t="n">
        <x:f>COUNTIF(I119:P119,"Présent")</x:f>
        <x:v>8</x:v>
      </x:c>
      <x:c r="H119" s="24" t="str">
        <x:v>Archivé Drive</x:v>
      </x:c>
      <x:c r="I119" s="24" t="str">
        <x:v>Présent</x:v>
      </x:c>
      <x:c r="J119" s="24" t="str">
        <x:v>Présent</x:v>
      </x:c>
      <x:c r="K119" s="24" t="str">
        <x:v>Présent</x:v>
      </x:c>
      <x:c r="L119" s="24" t="str">
        <x:v>Présent</x:v>
      </x:c>
      <x:c r="M119" s="24" t="str">
        <x:v>Présent</x:v>
      </x:c>
      <x:c r="N119" s="24" t="str">
        <x:v>Présent</x:v>
      </x:c>
      <x:c r="O119" s="24" t="str">
        <x:v>Présent</x:v>
      </x:c>
      <x:c r="P119" s="24" t="str">
        <x:v>Présent</x:v>
      </x:c>
      <x:c r="Q119" s="24" t="str">
        <x:v>Atlas</x:v>
      </x:c>
      <x:c r="R119" s="24" t="str">
        <x:v>Atlas</x:v>
      </x:c>
      <x:c r="S119" s="24" t="str">
        <x:v>Atlas</x:v>
      </x:c>
      <x:c r="T119" s="24" t="str">
        <x:v>Atlas</x:v>
      </x:c>
      <x:c r="U119" s="24" t="str">
        <x:v>Atlas</x:v>
      </x:c>
      <x:c r="V119" s="24" t="str">
        <x:v>Atlas</x:v>
      </x:c>
      <x:c r="W119" s="24" t="str">
        <x:v>6/6 actuelles</x:v>
      </x:c>
      <x:c r="X119" s="24" t="str">
        <x:v>6/6 actuelles</x:v>
      </x:c>
      <x:c r="Y119" s="24" t="str">
        <x:v>Non consignée</x:v>
      </x:c>
      <x:c r="Z119" s="24" t="str">
        <x:v>Périmée (0/6)</x:v>
      </x:c>
      <x:c r="AA119" s="23" t="str">
        <x:v>Validation navigateur passée. Publication exacte en attente de Thanh.</x:v>
      </x:c>
      <x:c r="AB119" s="21" t="str">
        <x:v>674f752f62b3179c8a21300c7796024f5935efc1</x:v>
      </x:c>
      <x:c r="AC119" s="21" t="str">
        <x:v>En cours</x:v>
      </x:c>
    </x:row>
    <x:row r="120" ht="40" customHeight="1">
      <x:c r="A120" s="22" t="str">
        <x:v>Chirurgie</x:v>
      </x:c>
      <x:c r="B120" s="22" t="str">
        <x:v>surgery</x:v>
      </x:c>
      <x:c r="C120" s="26" t="n">
        <x:v>110</x:v>
      </x:c>
      <x:c r="D120" s="24" t="str">
        <x:v>Lot 11</x:v>
      </x:c>
      <x:c r="E120" s="25" t="str">
        <x:v>Actions</x:v>
      </x:c>
      <x:c r="F120" s="24" t="str">
        <x:f>IF(AND(G120=8,COUNTIF(Q120:V120,"Atlas")=6),"Intégré","À faire")</x:f>
        <x:v>Intégré</x:v>
      </x:c>
      <x:c r="G120" s="27" t="n">
        <x:f>COUNTIF(I120:P120,"Présent")</x:f>
        <x:v>8</x:v>
      </x:c>
      <x:c r="H120" s="24" t="str">
        <x:v>Archivé Drive</x:v>
      </x:c>
      <x:c r="I120" s="24" t="str">
        <x:v>Présent</x:v>
      </x:c>
      <x:c r="J120" s="24" t="str">
        <x:v>Présent</x:v>
      </x:c>
      <x:c r="K120" s="24" t="str">
        <x:v>Présent</x:v>
      </x:c>
      <x:c r="L120" s="24" t="str">
        <x:v>Présent</x:v>
      </x:c>
      <x:c r="M120" s="24" t="str">
        <x:v>Présent</x:v>
      </x:c>
      <x:c r="N120" s="24" t="str">
        <x:v>Présent</x:v>
      </x:c>
      <x:c r="O120" s="24" t="str">
        <x:v>Présent</x:v>
      </x:c>
      <x:c r="P120" s="24" t="str">
        <x:v>Présent</x:v>
      </x:c>
      <x:c r="Q120" s="24" t="str">
        <x:v>Atlas</x:v>
      </x:c>
      <x:c r="R120" s="24" t="str">
        <x:v>Atlas</x:v>
      </x:c>
      <x:c r="S120" s="24" t="str">
        <x:v>Atlas</x:v>
      </x:c>
      <x:c r="T120" s="24" t="str">
        <x:v>Atlas</x:v>
      </x:c>
      <x:c r="U120" s="24" t="str">
        <x:v>Atlas</x:v>
      </x:c>
      <x:c r="V120" s="24" t="str">
        <x:v>Atlas</x:v>
      </x:c>
      <x:c r="W120" s="24" t="str">
        <x:v>6/6 actuelles</x:v>
      </x:c>
      <x:c r="X120" s="24" t="str">
        <x:v>6/6 actuelles</x:v>
      </x:c>
      <x:c r="Y120" s="24" t="str">
        <x:v>Non consignée</x:v>
      </x:c>
      <x:c r="Z120" s="24" t="str">
        <x:v>Périmée (0/6)</x:v>
      </x:c>
      <x:c r="AA120" s="23" t="str">
        <x:v>Validation navigateur passée. Publication exacte en attente de Thanh.</x:v>
      </x:c>
      <x:c r="AB120" s="21" t="str">
        <x:v>674f752f62b3179c8a21300c7796024f5935efc1</x:v>
      </x:c>
      <x:c r="AC120" s="21" t="str">
        <x:v>En cours</x:v>
      </x:c>
    </x:row>
    <x:row r="121" ht="40" customHeight="1">
      <x:c r="A121" s="22" t="str">
        <x:v>Ciel</x:v>
      </x:c>
      <x:c r="B121" s="22" t="str">
        <x:v>sky</x:v>
      </x:c>
      <x:c r="C121" s="26" t="n">
        <x:v>111</x:v>
      </x:c>
      <x:c r="D121" s="24" t="str">
        <x:v>Lot 14</x:v>
      </x:c>
      <x:c r="E121" s="25" t="str">
        <x:v>Ciel</x:v>
      </x:c>
      <x:c r="F121" s="24" t="str">
        <x:f>IF(AND(G121=8,COUNTIF(Q121:V121,"Atlas")=6),"Intégré","À faire")</x:f>
        <x:v>Intégré</x:v>
      </x:c>
      <x:c r="G121" s="27" t="n">
        <x:f>COUNTIF(I121:P121,"Présent")</x:f>
        <x:v>8</x:v>
      </x:c>
      <x:c r="H121" s="24" t="str">
        <x:v>Archivé Drive</x:v>
      </x:c>
      <x:c r="I121" s="24" t="str">
        <x:v>Présent</x:v>
      </x:c>
      <x:c r="J121" s="24" t="str">
        <x:v>Présent</x:v>
      </x:c>
      <x:c r="K121" s="24" t="str">
        <x:v>Présent</x:v>
      </x:c>
      <x:c r="L121" s="24" t="str">
        <x:v>Présent</x:v>
      </x:c>
      <x:c r="M121" s="24" t="str">
        <x:v>Présent</x:v>
      </x:c>
      <x:c r="N121" s="24" t="str">
        <x:v>Présent</x:v>
      </x:c>
      <x:c r="O121" s="24" t="str">
        <x:v>Présent</x:v>
      </x:c>
      <x:c r="P121" s="24" t="str">
        <x:v>Présent</x:v>
      </x:c>
      <x:c r="Q121" s="24" t="str">
        <x:v>Atlas</x:v>
      </x:c>
      <x:c r="R121" s="24" t="str">
        <x:v>Atlas</x:v>
      </x:c>
      <x:c r="S121" s="24" t="str">
        <x:v>Atlas</x:v>
      </x:c>
      <x:c r="T121" s="24" t="str">
        <x:v>Atlas</x:v>
      </x:c>
      <x:c r="U121" s="24" t="str">
        <x:v>Atlas</x:v>
      </x:c>
      <x:c r="V121" s="24" t="str">
        <x:v>Atlas</x:v>
      </x:c>
      <x:c r="W121" s="24" t="str">
        <x:v>6/6 actuelles</x:v>
      </x:c>
      <x:c r="X121" s="24" t="str">
        <x:v>6/6 actuelles</x:v>
      </x:c>
      <x:c r="Y121" s="24" t="str">
        <x:v>Non consignée</x:v>
      </x:c>
      <x:c r="Z121" s="24" t="str">
        <x:v>Périmée (0/6)</x:v>
      </x:c>
      <x:c r="AA121" s="23" t="str">
        <x:v>Validation navigateur passée. Publication exacte en attente de Thanh.</x:v>
      </x:c>
      <x:c r="AB121" s="21" t="str">
        <x:v>674f752f62b3179c8a21300c7796024f5935efc1</x:v>
      </x:c>
      <x:c r="AC121" s="21" t="str">
        <x:v>En cours</x:v>
      </x:c>
    </x:row>
    <x:row r="122" ht="40" customHeight="1">
      <x:c r="A122" s="22" t="str">
        <x:v>Cimetière</x:v>
      </x:c>
      <x:c r="B122" s="22" t="str">
        <x:v>cemetery</x:v>
      </x:c>
      <x:c r="C122" s="26" t="n">
        <x:v>112</x:v>
      </x:c>
      <x:c r="D122" s="24" t="str">
        <x:v>Lot 13</x:v>
      </x:c>
      <x:c r="E122" s="25" t="str">
        <x:v>Lieux</x:v>
      </x:c>
      <x:c r="F122" s="24" t="str">
        <x:f>IF(AND(G122=8,COUNTIF(Q122:V122,"Atlas")=6),"Intégré","À faire")</x:f>
        <x:v>Intégré</x:v>
      </x:c>
      <x:c r="G122" s="27" t="n">
        <x:f>COUNTIF(I122:P122,"Présent")</x:f>
        <x:v>8</x:v>
      </x:c>
      <x:c r="H122" s="24" t="str">
        <x:v>Archivé Drive</x:v>
      </x:c>
      <x:c r="I122" s="24" t="str">
        <x:v>Présent</x:v>
      </x:c>
      <x:c r="J122" s="24" t="str">
        <x:v>Présent</x:v>
      </x:c>
      <x:c r="K122" s="24" t="str">
        <x:v>Présent</x:v>
      </x:c>
      <x:c r="L122" s="24" t="str">
        <x:v>Présent</x:v>
      </x:c>
      <x:c r="M122" s="24" t="str">
        <x:v>Présent</x:v>
      </x:c>
      <x:c r="N122" s="24" t="str">
        <x:v>Présent</x:v>
      </x:c>
      <x:c r="O122" s="24" t="str">
        <x:v>Présent</x:v>
      </x:c>
      <x:c r="P122" s="24" t="str">
        <x:v>Présent</x:v>
      </x:c>
      <x:c r="Q122" s="24" t="str">
        <x:v>Atlas</x:v>
      </x:c>
      <x:c r="R122" s="24" t="str">
        <x:v>Atlas</x:v>
      </x:c>
      <x:c r="S122" s="24" t="str">
        <x:v>Atlas</x:v>
      </x:c>
      <x:c r="T122" s="24" t="str">
        <x:v>Atlas</x:v>
      </x:c>
      <x:c r="U122" s="24" t="str">
        <x:v>Atlas</x:v>
      </x:c>
      <x:c r="V122" s="24" t="str">
        <x:v>Atlas</x:v>
      </x:c>
      <x:c r="W122" s="24" t="str">
        <x:v>6/6 actuelles</x:v>
      </x:c>
      <x:c r="X122" s="24" t="str">
        <x:v>6/6 actuelles</x:v>
      </x:c>
      <x:c r="Y122" s="24" t="str">
        <x:v>Non consignée</x:v>
      </x:c>
      <x:c r="Z122" s="24" t="str">
        <x:v>Périmée (0/6)</x:v>
      </x:c>
      <x:c r="AA122" s="23" t="str">
        <x:v>Validation navigateur passée. Publication exacte en attente de Thanh.</x:v>
      </x:c>
      <x:c r="AB122" s="21" t="str">
        <x:v>674f752f62b3179c8a21300c7796024f5935efc1</x:v>
      </x:c>
      <x:c r="AC122" s="21" t="str">
        <x:v>En cours</x:v>
      </x:c>
    </x:row>
    <x:row r="123" ht="40" customHeight="1">
      <x:c r="A123" s="22" t="str">
        <x:v>Clown</x:v>
      </x:c>
      <x:c r="B123" s="22" t="str">
        <x:v>clown</x:v>
      </x:c>
      <x:c r="C123" s="26" t="n">
        <x:v>113</x:v>
      </x:c>
      <x:c r="D123" s="24" t="str">
        <x:v>Lot 14</x:v>
      </x:c>
      <x:c r="E123" s="25" t="str">
        <x:v>Personnes</x:v>
      </x:c>
      <x:c r="F123" s="24" t="str">
        <x:f>IF(AND(G123=8,COUNTIF(Q123:V123,"Atlas")=6),"Intégré","À faire")</x:f>
        <x:v>Intégré</x:v>
      </x:c>
      <x:c r="G123" s="27" t="n">
        <x:f>COUNTIF(I123:P123,"Présent")</x:f>
        <x:v>8</x:v>
      </x:c>
      <x:c r="H123" s="24" t="str">
        <x:v>Archivé Drive</x:v>
      </x:c>
      <x:c r="I123" s="24" t="str">
        <x:v>Présent</x:v>
      </x:c>
      <x:c r="J123" s="24" t="str">
        <x:v>Présent</x:v>
      </x:c>
      <x:c r="K123" s="24" t="str">
        <x:v>Présent</x:v>
      </x:c>
      <x:c r="L123" s="24" t="str">
        <x:v>Présent</x:v>
      </x:c>
      <x:c r="M123" s="24" t="str">
        <x:v>Présent</x:v>
      </x:c>
      <x:c r="N123" s="24" t="str">
        <x:v>Présent</x:v>
      </x:c>
      <x:c r="O123" s="24" t="str">
        <x:v>Présent</x:v>
      </x:c>
      <x:c r="P123" s="24" t="str">
        <x:v>Présent</x:v>
      </x:c>
      <x:c r="Q123" s="24" t="str">
        <x:v>Atlas</x:v>
      </x:c>
      <x:c r="R123" s="24" t="str">
        <x:v>Atlas</x:v>
      </x:c>
      <x:c r="S123" s="24" t="str">
        <x:v>Atlas</x:v>
      </x:c>
      <x:c r="T123" s="24" t="str">
        <x:v>Atlas</x:v>
      </x:c>
      <x:c r="U123" s="24" t="str">
        <x:v>Atlas</x:v>
      </x:c>
      <x:c r="V123" s="24" t="str">
        <x:v>Atlas</x:v>
      </x:c>
      <x:c r="W123" s="24" t="str">
        <x:v>6/6 actuelles</x:v>
      </x:c>
      <x:c r="X123" s="24" t="str">
        <x:v>6/6 actuelles</x:v>
      </x:c>
      <x:c r="Y123" s="24" t="str">
        <x:v>Non consignée</x:v>
      </x:c>
      <x:c r="Z123" s="24" t="str">
        <x:v>Périmée (0/6)</x:v>
      </x:c>
      <x:c r="AA123" s="23" t="str">
        <x:v>Validation navigateur passée. Publication exacte en attente de Thanh.</x:v>
      </x:c>
      <x:c r="AB123" s="21" t="str">
        <x:v>674f752f62b3179c8a21300c7796024f5935efc1</x:v>
      </x:c>
      <x:c r="AC123" s="21" t="str">
        <x:v>En cours</x:v>
      </x:c>
    </x:row>
    <x:row r="124" ht="40" customHeight="1">
      <x:c r="A124" s="22" t="str">
        <x:v>Cochon</x:v>
      </x:c>
      <x:c r="B124" s="22" t="str">
        <x:v>pig</x:v>
      </x:c>
      <x:c r="C124" s="26" t="n">
        <x:v>114</x:v>
      </x:c>
      <x:c r="D124" s="24" t="str">
        <x:v>Lot 13</x:v>
      </x:c>
      <x:c r="E124" s="25" t="str">
        <x:v>Animaux</x:v>
      </x:c>
      <x:c r="F124" s="24" t="str">
        <x:f>IF(AND(G124=8,COUNTIF(Q124:V124,"Atlas")=6),"Intégré","À faire")</x:f>
        <x:v>Intégré</x:v>
      </x:c>
      <x:c r="G124" s="27" t="n">
        <x:f>COUNTIF(I124:P124,"Présent")</x:f>
        <x:v>8</x:v>
      </x:c>
      <x:c r="H124" s="24" t="str">
        <x:v>Archivé Drive</x:v>
      </x:c>
      <x:c r="I124" s="24" t="str">
        <x:v>Présent</x:v>
      </x:c>
      <x:c r="J124" s="24" t="str">
        <x:v>Présent</x:v>
      </x:c>
      <x:c r="K124" s="24" t="str">
        <x:v>Présent</x:v>
      </x:c>
      <x:c r="L124" s="24" t="str">
        <x:v>Présent</x:v>
      </x:c>
      <x:c r="M124" s="24" t="str">
        <x:v>Présent</x:v>
      </x:c>
      <x:c r="N124" s="24" t="str">
        <x:v>Présent</x:v>
      </x:c>
      <x:c r="O124" s="24" t="str">
        <x:v>Présent</x:v>
      </x:c>
      <x:c r="P124" s="24" t="str">
        <x:v>Présent</x:v>
      </x:c>
      <x:c r="Q124" s="24" t="str">
        <x:v>Atlas</x:v>
      </x:c>
      <x:c r="R124" s="24" t="str">
        <x:v>Atlas</x:v>
      </x:c>
      <x:c r="S124" s="24" t="str">
        <x:v>Atlas</x:v>
      </x:c>
      <x:c r="T124" s="24" t="str">
        <x:v>Atlas</x:v>
      </x:c>
      <x:c r="U124" s="24" t="str">
        <x:v>Atlas</x:v>
      </x:c>
      <x:c r="V124" s="24" t="str">
        <x:v>Atlas</x:v>
      </x:c>
      <x:c r="W124" s="24" t="str">
        <x:v>6/6 actuelles</x:v>
      </x:c>
      <x:c r="X124" s="24" t="str">
        <x:v>6/6 actuelles</x:v>
      </x:c>
      <x:c r="Y124" s="24" t="str">
        <x:v>Non consignée</x:v>
      </x:c>
      <x:c r="Z124" s="24" t="str">
        <x:v>Périmée (0/6)</x:v>
      </x:c>
      <x:c r="AA124" s="23" t="str">
        <x:v>Validation navigateur passée. Publication exacte en attente de Thanh.</x:v>
      </x:c>
      <x:c r="AB124" s="21" t="str">
        <x:v>674f752f62b3179c8a21300c7796024f5935efc1</x:v>
      </x:c>
      <x:c r="AC124" s="21" t="str">
        <x:v>En cours</x:v>
      </x:c>
    </x:row>
    <x:row r="125" ht="40" customHeight="1">
      <x:c r="A125" s="22" t="str">
        <x:v>Cœur</x:v>
      </x:c>
      <x:c r="B125" s="22" t="str">
        <x:v>heart</x:v>
      </x:c>
      <x:c r="C125" s="26" t="n">
        <x:v>115</x:v>
      </x:c>
      <x:c r="D125" s="24" t="str">
        <x:v>Lot 11</x:v>
      </x:c>
      <x:c r="E125" s="25" t="str">
        <x:v>Corps</x:v>
      </x:c>
      <x:c r="F125" s="24" t="str">
        <x:f>IF(AND(G125=8,COUNTIF(Q125:V125,"Atlas")=6),"Intégré","À faire")</x:f>
        <x:v>Intégré</x:v>
      </x:c>
      <x:c r="G125" s="27" t="n">
        <x:f>COUNTIF(I125:P125,"Présent")</x:f>
        <x:v>8</x:v>
      </x:c>
      <x:c r="H125" s="24" t="str">
        <x:v>Archivé Drive</x:v>
      </x:c>
      <x:c r="I125" s="24" t="str">
        <x:v>Présent</x:v>
      </x:c>
      <x:c r="J125" s="24" t="str">
        <x:v>Présent</x:v>
      </x:c>
      <x:c r="K125" s="24" t="str">
        <x:v>Présent</x:v>
      </x:c>
      <x:c r="L125" s="24" t="str">
        <x:v>Présent</x:v>
      </x:c>
      <x:c r="M125" s="24" t="str">
        <x:v>Présent</x:v>
      </x:c>
      <x:c r="N125" s="24" t="str">
        <x:v>Présent</x:v>
      </x:c>
      <x:c r="O125" s="24" t="str">
        <x:v>Présent</x:v>
      </x:c>
      <x:c r="P125" s="24" t="str">
        <x:v>Présent</x:v>
      </x:c>
      <x:c r="Q125" s="24" t="str">
        <x:v>Atlas</x:v>
      </x:c>
      <x:c r="R125" s="24" t="str">
        <x:v>Atlas</x:v>
      </x:c>
      <x:c r="S125" s="24" t="str">
        <x:v>Atlas</x:v>
      </x:c>
      <x:c r="T125" s="24" t="str">
        <x:v>Atlas</x:v>
      </x:c>
      <x:c r="U125" s="24" t="str">
        <x:v>Atlas</x:v>
      </x:c>
      <x:c r="V125" s="24" t="str">
        <x:v>Atlas</x:v>
      </x:c>
      <x:c r="W125" s="24" t="str">
        <x:v>6/6 actuelles</x:v>
      </x:c>
      <x:c r="X125" s="24" t="str">
        <x:v>6/6 actuelles</x:v>
      </x:c>
      <x:c r="Y125" s="24" t="str">
        <x:v>Non consignée</x:v>
      </x:c>
      <x:c r="Z125" s="24" t="str">
        <x:v>Périmée (0/6)</x:v>
      </x:c>
      <x:c r="AA125" s="23" t="str">
        <x:v>Validation navigateur passée. Publication exacte en attente de Thanh.</x:v>
      </x:c>
      <x:c r="AB125" s="21" t="str">
        <x:v>674f752f62b3179c8a21300c7796024f5935efc1</x:v>
      </x:c>
      <x:c r="AC125" s="21" t="str">
        <x:v>En cours</x:v>
      </x:c>
    </x:row>
    <x:row r="126" ht="40" customHeight="1">
      <x:c r="A126" s="22" t="str">
        <x:v>Collègue</x:v>
      </x:c>
      <x:c r="B126" s="22" t="str">
        <x:v>coworker</x:v>
      </x:c>
      <x:c r="C126" s="26" t="n">
        <x:v>116</x:v>
      </x:c>
      <x:c r="D126" s="24" t="str">
        <x:v>Lot 10</x:v>
      </x:c>
      <x:c r="E126" s="25" t="str">
        <x:v>Personnes</x:v>
      </x:c>
      <x:c r="F126" s="24" t="str">
        <x:f>IF(AND(G126=8,COUNTIF(Q126:V126,"Atlas")=6),"Intégré","À faire")</x:f>
        <x:v>Intégré</x:v>
      </x:c>
      <x:c r="G126" s="27" t="n">
        <x:f>COUNTIF(I126:P126,"Présent")</x:f>
        <x:v>8</x:v>
      </x:c>
      <x:c r="H126" s="24" t="str">
        <x:v>Archivé Drive</x:v>
      </x:c>
      <x:c r="I126" s="24" t="str">
        <x:v>Présent</x:v>
      </x:c>
      <x:c r="J126" s="24" t="str">
        <x:v>Présent</x:v>
      </x:c>
      <x:c r="K126" s="24" t="str">
        <x:v>Présent</x:v>
      </x:c>
      <x:c r="L126" s="24" t="str">
        <x:v>Présent</x:v>
      </x:c>
      <x:c r="M126" s="24" t="str">
        <x:v>Présent</x:v>
      </x:c>
      <x:c r="N126" s="24" t="str">
        <x:v>Présent</x:v>
      </x:c>
      <x:c r="O126" s="24" t="str">
        <x:v>Présent</x:v>
      </x:c>
      <x:c r="P126" s="24" t="str">
        <x:v>Présent</x:v>
      </x:c>
      <x:c r="Q126" s="24" t="str">
        <x:v>Atlas</x:v>
      </x:c>
      <x:c r="R126" s="24" t="str">
        <x:v>Atlas</x:v>
      </x:c>
      <x:c r="S126" s="24" t="str">
        <x:v>Atlas</x:v>
      </x:c>
      <x:c r="T126" s="24" t="str">
        <x:v>Atlas</x:v>
      </x:c>
      <x:c r="U126" s="24" t="str">
        <x:v>Atlas</x:v>
      </x:c>
      <x:c r="V126" s="24" t="str">
        <x:v>Atlas</x:v>
      </x:c>
      <x:c r="W126" s="24" t="str">
        <x:v>6/6 actuelles</x:v>
      </x:c>
      <x:c r="X126" s="24" t="str">
        <x:v>6/6 actuelles</x:v>
      </x:c>
      <x:c r="Y126" s="24" t="str">
        <x:v>Non consignée</x:v>
      </x:c>
      <x:c r="Z126" s="24" t="str">
        <x:v>Périmée (0/6)</x:v>
      </x:c>
      <x:c r="AA126" s="23" t="str">
        <x:v>Validation navigateur passée. Publication exacte en attente de Thanh.</x:v>
      </x:c>
      <x:c r="AB126" s="21" t="str">
        <x:v>674f752f62b3179c8a21300c7796024f5935efc1</x:v>
      </x:c>
      <x:c r="AC126" s="21" t="str">
        <x:v>En cours</x:v>
      </x:c>
    </x:row>
    <x:row r="127" ht="40" customHeight="1">
      <x:c r="A127" s="22" t="str">
        <x:v>Corbeau</x:v>
      </x:c>
      <x:c r="B127" s="22" t="str">
        <x:v>crow</x:v>
      </x:c>
      <x:c r="C127" s="26" t="n">
        <x:v>117</x:v>
      </x:c>
      <x:c r="D127" s="24" t="str">
        <x:v>Lot 12</x:v>
      </x:c>
      <x:c r="E127" s="25" t="str">
        <x:v>Animaux</x:v>
      </x:c>
      <x:c r="F127" s="24" t="str">
        <x:f>IF(AND(G127=8,COUNTIF(Q127:V127,"Atlas")=6),"Intégré","À faire")</x:f>
        <x:v>Intégré</x:v>
      </x:c>
      <x:c r="G127" s="27" t="n">
        <x:f>COUNTIF(I127:P127,"Présent")</x:f>
        <x:v>8</x:v>
      </x:c>
      <x:c r="H127" s="24" t="str">
        <x:v>Archivé Drive</x:v>
      </x:c>
      <x:c r="I127" s="24" t="str">
        <x:v>Présent</x:v>
      </x:c>
      <x:c r="J127" s="24" t="str">
        <x:v>Présent</x:v>
      </x:c>
      <x:c r="K127" s="24" t="str">
        <x:v>Présent</x:v>
      </x:c>
      <x:c r="L127" s="24" t="str">
        <x:v>Présent</x:v>
      </x:c>
      <x:c r="M127" s="24" t="str">
        <x:v>Présent</x:v>
      </x:c>
      <x:c r="N127" s="24" t="str">
        <x:v>Présent</x:v>
      </x:c>
      <x:c r="O127" s="24" t="str">
        <x:v>Présent</x:v>
      </x:c>
      <x:c r="P127" s="24" t="str">
        <x:v>Présent</x:v>
      </x:c>
      <x:c r="Q127" s="24" t="str">
        <x:v>Atlas</x:v>
      </x:c>
      <x:c r="R127" s="24" t="str">
        <x:v>Atlas</x:v>
      </x:c>
      <x:c r="S127" s="24" t="str">
        <x:v>Atlas</x:v>
      </x:c>
      <x:c r="T127" s="24" t="str">
        <x:v>Atlas</x:v>
      </x:c>
      <x:c r="U127" s="24" t="str">
        <x:v>Atlas</x:v>
      </x:c>
      <x:c r="V127" s="24" t="str">
        <x:v>Atlas</x:v>
      </x:c>
      <x:c r="W127" s="24" t="str">
        <x:v>6/6 actuelles</x:v>
      </x:c>
      <x:c r="X127" s="24" t="str">
        <x:v>6/6 actuelles</x:v>
      </x:c>
      <x:c r="Y127" s="24" t="str">
        <x:v>Non consignée</x:v>
      </x:c>
      <x:c r="Z127" s="24" t="str">
        <x:v>Périmée (0/6)</x:v>
      </x:c>
      <x:c r="AA127" s="23" t="str">
        <x:v>Validation navigateur passée. Publication exacte en attente de Thanh.</x:v>
      </x:c>
      <x:c r="AB127" s="21" t="str">
        <x:v>674f752f62b3179c8a21300c7796024f5935efc1</x:v>
      </x:c>
      <x:c r="AC127" s="21" t="str">
        <x:v>En cours</x:v>
      </x:c>
    </x:row>
    <x:row r="128" ht="40" customHeight="1">
      <x:c r="A128" s="22" t="str">
        <x:v>Courir</x:v>
      </x:c>
      <x:c r="B128" s="22" t="str">
        <x:v>running</x:v>
      </x:c>
      <x:c r="C128" s="26" t="n">
        <x:v>118</x:v>
      </x:c>
      <x:c r="D128" s="24" t="str">
        <x:v>Lot 08</x:v>
      </x:c>
      <x:c r="E128" s="25" t="str">
        <x:v>Actions</x:v>
      </x:c>
      <x:c r="F128" s="24" t="str">
        <x:f>IF(AND(G128=8,COUNTIF(Q128:V128,"Atlas")=6),"Intégré","À faire")</x:f>
        <x:v>Intégré</x:v>
      </x:c>
      <x:c r="G128" s="27" t="n">
        <x:f>COUNTIF(I128:P128,"Présent")</x:f>
        <x:v>8</x:v>
      </x:c>
      <x:c r="H128" s="24" t="str">
        <x:v>Archivé Drive</x:v>
      </x:c>
      <x:c r="I128" s="24" t="str">
        <x:v>Présent</x:v>
      </x:c>
      <x:c r="J128" s="24" t="str">
        <x:v>Présent</x:v>
      </x:c>
      <x:c r="K128" s="24" t="str">
        <x:v>Présent</x:v>
      </x:c>
      <x:c r="L128" s="24" t="str">
        <x:v>Présent</x:v>
      </x:c>
      <x:c r="M128" s="24" t="str">
        <x:v>Présent</x:v>
      </x:c>
      <x:c r="N128" s="24" t="str">
        <x:v>Présent</x:v>
      </x:c>
      <x:c r="O128" s="24" t="str">
        <x:v>Présent</x:v>
      </x:c>
      <x:c r="P128" s="24" t="str">
        <x:v>Présent</x:v>
      </x:c>
      <x:c r="Q128" s="24" t="str">
        <x:v>Atlas</x:v>
      </x:c>
      <x:c r="R128" s="24" t="str">
        <x:v>Atlas</x:v>
      </x:c>
      <x:c r="S128" s="24" t="str">
        <x:v>Atlas</x:v>
      </x:c>
      <x:c r="T128" s="24" t="str">
        <x:v>Atlas</x:v>
      </x:c>
      <x:c r="U128" s="24" t="str">
        <x:v>Atlas</x:v>
      </x:c>
      <x:c r="V128" s="24" t="str">
        <x:v>Atlas</x:v>
      </x:c>
      <x:c r="W128" s="24" t="str">
        <x:v>6/6 actuelles</x:v>
      </x:c>
      <x:c r="X128" s="24" t="str">
        <x:v>6/6 actuelles</x:v>
      </x:c>
      <x:c r="Y128" s="24" t="str">
        <x:v>Non consignée</x:v>
      </x:c>
      <x:c r="Z128" s="24" t="str">
        <x:v>Périmée (0/6)</x:v>
      </x:c>
      <x:c r="AA128" s="23" t="str">
        <x:v>Validation navigateur passée. Publication exacte en attente de Thanh.</x:v>
      </x:c>
      <x:c r="AB128" s="21" t="str">
        <x:v>674f752f62b3179c8a21300c7796024f5935efc1</x:v>
      </x:c>
      <x:c r="AC128" s="21" t="str">
        <x:v>En cours</x:v>
      </x:c>
    </x:row>
    <x:row r="129" ht="40" customHeight="1">
      <x:c r="A129" s="22" t="str">
        <x:v>Couteau</x:v>
      </x:c>
      <x:c r="B129" s="22" t="str">
        <x:v>knife</x:v>
      </x:c>
      <x:c r="C129" s="26" t="n">
        <x:v>119</x:v>
      </x:c>
      <x:c r="D129" s="24" t="str">
        <x:v>Lot 14</x:v>
      </x:c>
      <x:c r="E129" s="25" t="str">
        <x:v>Objets</x:v>
      </x:c>
      <x:c r="F129" s="24" t="str">
        <x:f>IF(AND(G129=8,COUNTIF(Q129:V129,"Atlas")=6),"Intégré","À faire")</x:f>
        <x:v>Intégré</x:v>
      </x:c>
      <x:c r="G129" s="27" t="n">
        <x:f>COUNTIF(I129:P129,"Présent")</x:f>
        <x:v>8</x:v>
      </x:c>
      <x:c r="H129" s="24" t="str">
        <x:v>Archivé Drive</x:v>
      </x:c>
      <x:c r="I129" s="24" t="str">
        <x:v>Présent</x:v>
      </x:c>
      <x:c r="J129" s="24" t="str">
        <x:v>Présent</x:v>
      </x:c>
      <x:c r="K129" s="24" t="str">
        <x:v>Présent</x:v>
      </x:c>
      <x:c r="L129" s="24" t="str">
        <x:v>Présent</x:v>
      </x:c>
      <x:c r="M129" s="24" t="str">
        <x:v>Présent</x:v>
      </x:c>
      <x:c r="N129" s="24" t="str">
        <x:v>Présent</x:v>
      </x:c>
      <x:c r="O129" s="24" t="str">
        <x:v>Présent</x:v>
      </x:c>
      <x:c r="P129" s="24" t="str">
        <x:v>Présent</x:v>
      </x:c>
      <x:c r="Q129" s="24" t="str">
        <x:v>Atlas</x:v>
      </x:c>
      <x:c r="R129" s="24" t="str">
        <x:v>Atlas</x:v>
      </x:c>
      <x:c r="S129" s="24" t="str">
        <x:v>Atlas</x:v>
      </x:c>
      <x:c r="T129" s="24" t="str">
        <x:v>Atlas</x:v>
      </x:c>
      <x:c r="U129" s="24" t="str">
        <x:v>Atlas</x:v>
      </x:c>
      <x:c r="V129" s="24" t="str">
        <x:v>Atlas</x:v>
      </x:c>
      <x:c r="W129" s="24" t="str">
        <x:v>6/6 actuelles</x:v>
      </x:c>
      <x:c r="X129" s="24" t="str">
        <x:v>6/6 actuelles</x:v>
      </x:c>
      <x:c r="Y129" s="24" t="str">
        <x:v>Non consignée</x:v>
      </x:c>
      <x:c r="Z129" s="24" t="str">
        <x:v>Périmée (0/6)</x:v>
      </x:c>
      <x:c r="AA129" s="23" t="str">
        <x:v>Validation navigateur passée. Publication exacte en attente de Thanh.</x:v>
      </x:c>
      <x:c r="AB129" s="21" t="str">
        <x:v>674f752f62b3179c8a21300c7796024f5935efc1</x:v>
      </x:c>
      <x:c r="AC129" s="21" t="str">
        <x:v>En cours</x:v>
      </x:c>
    </x:row>
    <x:row r="130" ht="40" customHeight="1">
      <x:c r="A130" s="22" t="str">
        <x:v>Cri</x:v>
      </x:c>
      <x:c r="B130" s="22" t="str">
        <x:v>screaming</x:v>
      </x:c>
      <x:c r="C130" s="26" t="n">
        <x:v>120</x:v>
      </x:c>
      <x:c r="D130" s="24" t="str">
        <x:v>Lot 11</x:v>
      </x:c>
      <x:c r="E130" s="25" t="str">
        <x:v>Actions</x:v>
      </x:c>
      <x:c r="F130" s="24" t="str">
        <x:f>IF(AND(G130=8,COUNTIF(Q130:V130,"Atlas")=6),"Intégré","À faire")</x:f>
        <x:v>Intégré</x:v>
      </x:c>
      <x:c r="G130" s="27" t="n">
        <x:f>COUNTIF(I130:P130,"Présent")</x:f>
        <x:v>8</x:v>
      </x:c>
      <x:c r="H130" s="24" t="str">
        <x:v>Archivé Drive</x:v>
      </x:c>
      <x:c r="I130" s="24" t="str">
        <x:v>Présent</x:v>
      </x:c>
      <x:c r="J130" s="24" t="str">
        <x:v>Présent</x:v>
      </x:c>
      <x:c r="K130" s="24" t="str">
        <x:v>Présent</x:v>
      </x:c>
      <x:c r="L130" s="24" t="str">
        <x:v>Présent</x:v>
      </x:c>
      <x:c r="M130" s="24" t="str">
        <x:v>Présent</x:v>
      </x:c>
      <x:c r="N130" s="24" t="str">
        <x:v>Présent</x:v>
      </x:c>
      <x:c r="O130" s="24" t="str">
        <x:v>Présent</x:v>
      </x:c>
      <x:c r="P130" s="24" t="str">
        <x:v>Présent</x:v>
      </x:c>
      <x:c r="Q130" s="24" t="str">
        <x:v>Atlas</x:v>
      </x:c>
      <x:c r="R130" s="24" t="str">
        <x:v>Atlas</x:v>
      </x:c>
      <x:c r="S130" s="24" t="str">
        <x:v>Atlas</x:v>
      </x:c>
      <x:c r="T130" s="24" t="str">
        <x:v>Atlas</x:v>
      </x:c>
      <x:c r="U130" s="24" t="str">
        <x:v>Atlas</x:v>
      </x:c>
      <x:c r="V130" s="24" t="str">
        <x:v>Atlas</x:v>
      </x:c>
      <x:c r="W130" s="24" t="str">
        <x:v>6/6 actuelles</x:v>
      </x:c>
      <x:c r="X130" s="24" t="str">
        <x:v>6/6 actuelles</x:v>
      </x:c>
      <x:c r="Y130" s="24" t="str">
        <x:v>Non consignée</x:v>
      </x:c>
      <x:c r="Z130" s="24" t="str">
        <x:v>Périmée (0/6)</x:v>
      </x:c>
      <x:c r="AA130" s="23" t="str">
        <x:v>Validation navigateur passée. Publication exacte en attente de Thanh.</x:v>
      </x:c>
      <x:c r="AB130" s="21" t="str">
        <x:v>674f752f62b3179c8a21300c7796024f5935efc1</x:v>
      </x:c>
      <x:c r="AC130" s="21" t="str">
        <x:v>En cours</x:v>
      </x:c>
    </x:row>
    <x:row r="131" ht="40" customHeight="1">
      <x:c r="A131" s="22" t="str">
        <x:v>Crocodile</x:v>
      </x:c>
      <x:c r="B131" s="22" t="str">
        <x:v>crocodile</x:v>
      </x:c>
      <x:c r="C131" s="26" t="n">
        <x:v>121</x:v>
      </x:c>
      <x:c r="D131" s="24" t="str">
        <x:v>Lot 12</x:v>
      </x:c>
      <x:c r="E131" s="25" t="str">
        <x:v>Animaux</x:v>
      </x:c>
      <x:c r="F131" s="24" t="str">
        <x:f>IF(AND(G131=8,COUNTIF(Q131:V131,"Atlas")=6),"Intégré","À faire")</x:f>
        <x:v>Intégré</x:v>
      </x:c>
      <x:c r="G131" s="27" t="n">
        <x:f>COUNTIF(I131:P131,"Présent")</x:f>
        <x:v>8</x:v>
      </x:c>
      <x:c r="H131" s="24" t="str">
        <x:v>Archivé Drive</x:v>
      </x:c>
      <x:c r="I131" s="24" t="str">
        <x:v>Présent</x:v>
      </x:c>
      <x:c r="J131" s="24" t="str">
        <x:v>Présent</x:v>
      </x:c>
      <x:c r="K131" s="24" t="str">
        <x:v>Présent</x:v>
      </x:c>
      <x:c r="L131" s="24" t="str">
        <x:v>Présent</x:v>
      </x:c>
      <x:c r="M131" s="24" t="str">
        <x:v>Présent</x:v>
      </x:c>
      <x:c r="N131" s="24" t="str">
        <x:v>Présent</x:v>
      </x:c>
      <x:c r="O131" s="24" t="str">
        <x:v>Présent</x:v>
      </x:c>
      <x:c r="P131" s="24" t="str">
        <x:v>Présent</x:v>
      </x:c>
      <x:c r="Q131" s="24" t="str">
        <x:v>Atlas</x:v>
      </x:c>
      <x:c r="R131" s="24" t="str">
        <x:v>Atlas</x:v>
      </x:c>
      <x:c r="S131" s="24" t="str">
        <x:v>Atlas</x:v>
      </x:c>
      <x:c r="T131" s="24" t="str">
        <x:v>Atlas</x:v>
      </x:c>
      <x:c r="U131" s="24" t="str">
        <x:v>Atlas</x:v>
      </x:c>
      <x:c r="V131" s="24" t="str">
        <x:v>Atlas</x:v>
      </x:c>
      <x:c r="W131" s="24" t="str">
        <x:v>6/6 actuelles</x:v>
      </x:c>
      <x:c r="X131" s="24" t="str">
        <x:v>6/6 actuelles</x:v>
      </x:c>
      <x:c r="Y131" s="24" t="str">
        <x:v>Non consignée</x:v>
      </x:c>
      <x:c r="Z131" s="24" t="str">
        <x:v>Périmée (0/6)</x:v>
      </x:c>
      <x:c r="AA131" s="23" t="str">
        <x:v>Validation navigateur passée. Publication exacte en attente de Thanh.</x:v>
      </x:c>
      <x:c r="AB131" s="21" t="str">
        <x:v>674f752f62b3179c8a21300c7796024f5935efc1</x:v>
      </x:c>
      <x:c r="AC131" s="21" t="str">
        <x:v>En cours</x:v>
      </x:c>
    </x:row>
    <x:row r="132" ht="40" customHeight="1">
      <x:c r="A132" s="22" t="str">
        <x:v>Crush</x:v>
      </x:c>
      <x:c r="B132" s="22" t="str">
        <x:v>crush</x:v>
      </x:c>
      <x:c r="C132" s="26" t="n">
        <x:v>122</x:v>
      </x:c>
      <x:c r="D132" s="24" t="str">
        <x:v>Lot 13</x:v>
      </x:c>
      <x:c r="E132" s="25" t="str">
        <x:v>Personnes</x:v>
      </x:c>
      <x:c r="F132" s="24" t="str">
        <x:f>IF(AND(G132=8,COUNTIF(Q132:V132,"Atlas")=6),"Intégré","À faire")</x:f>
        <x:v>Intégré</x:v>
      </x:c>
      <x:c r="G132" s="27" t="n">
        <x:f>COUNTIF(I132:P132,"Présent")</x:f>
        <x:v>8</x:v>
      </x:c>
      <x:c r="H132" s="24" t="str">
        <x:v>Archivé Drive</x:v>
      </x:c>
      <x:c r="I132" s="24" t="str">
        <x:v>Présent</x:v>
      </x:c>
      <x:c r="J132" s="24" t="str">
        <x:v>Présent</x:v>
      </x:c>
      <x:c r="K132" s="24" t="str">
        <x:v>Présent</x:v>
      </x:c>
      <x:c r="L132" s="24" t="str">
        <x:v>Présent</x:v>
      </x:c>
      <x:c r="M132" s="24" t="str">
        <x:v>Présent</x:v>
      </x:c>
      <x:c r="N132" s="24" t="str">
        <x:v>Présent</x:v>
      </x:c>
      <x:c r="O132" s="24" t="str">
        <x:v>Présent</x:v>
      </x:c>
      <x:c r="P132" s="24" t="str">
        <x:v>Présent</x:v>
      </x:c>
      <x:c r="Q132" s="24" t="str">
        <x:v>Atlas</x:v>
      </x:c>
      <x:c r="R132" s="24" t="str">
        <x:v>Atlas</x:v>
      </x:c>
      <x:c r="S132" s="24" t="str">
        <x:v>Atlas</x:v>
      </x:c>
      <x:c r="T132" s="24" t="str">
        <x:v>Atlas</x:v>
      </x:c>
      <x:c r="U132" s="24" t="str">
        <x:v>Atlas</x:v>
      </x:c>
      <x:c r="V132" s="24" t="str">
        <x:v>Atlas</x:v>
      </x:c>
      <x:c r="W132" s="24" t="str">
        <x:v>6/6 actuelles</x:v>
      </x:c>
      <x:c r="X132" s="24" t="str">
        <x:v>6/6 actuelles</x:v>
      </x:c>
      <x:c r="Y132" s="24" t="str">
        <x:v>Non consignée</x:v>
      </x:c>
      <x:c r="Z132" s="24" t="str">
        <x:v>Périmée (0/6)</x:v>
      </x:c>
      <x:c r="AA132" s="23" t="str">
        <x:v>Validation navigateur passée. Publication exacte en attente de Thanh.</x:v>
      </x:c>
      <x:c r="AB132" s="21" t="str">
        <x:v>674f752f62b3179c8a21300c7796024f5935efc1</x:v>
      </x:c>
      <x:c r="AC132" s="21" t="str">
        <x:v>En cours</x:v>
      </x:c>
    </x:row>
    <x:row r="133" ht="40" customHeight="1">
      <x:c r="A133" s="22" t="str">
        <x:v>Cuisine</x:v>
      </x:c>
      <x:c r="B133" s="22" t="str">
        <x:v>kitchen</x:v>
      </x:c>
      <x:c r="C133" s="26" t="n">
        <x:v>123</x:v>
      </x:c>
      <x:c r="D133" s="24" t="str">
        <x:v>Lot 10</x:v>
      </x:c>
      <x:c r="E133" s="25" t="str">
        <x:v>Lieux</x:v>
      </x:c>
      <x:c r="F133" s="24" t="str">
        <x:f>IF(AND(G133=8,COUNTIF(Q133:V133,"Atlas")=6),"Intégré","À faire")</x:f>
        <x:v>Intégré</x:v>
      </x:c>
      <x:c r="G133" s="27" t="n">
        <x:f>COUNTIF(I133:P133,"Présent")</x:f>
        <x:v>8</x:v>
      </x:c>
      <x:c r="H133" s="24" t="str">
        <x:v>Archivé Drive</x:v>
      </x:c>
      <x:c r="I133" s="24" t="str">
        <x:v>Présent</x:v>
      </x:c>
      <x:c r="J133" s="24" t="str">
        <x:v>Présent</x:v>
      </x:c>
      <x:c r="K133" s="24" t="str">
        <x:v>Présent</x:v>
      </x:c>
      <x:c r="L133" s="24" t="str">
        <x:v>Présent</x:v>
      </x:c>
      <x:c r="M133" s="24" t="str">
        <x:v>Présent</x:v>
      </x:c>
      <x:c r="N133" s="24" t="str">
        <x:v>Présent</x:v>
      </x:c>
      <x:c r="O133" s="24" t="str">
        <x:v>Présent</x:v>
      </x:c>
      <x:c r="P133" s="24" t="str">
        <x:v>Présent</x:v>
      </x:c>
      <x:c r="Q133" s="24" t="str">
        <x:v>Atlas</x:v>
      </x:c>
      <x:c r="R133" s="24" t="str">
        <x:v>Atlas</x:v>
      </x:c>
      <x:c r="S133" s="24" t="str">
        <x:v>Atlas</x:v>
      </x:c>
      <x:c r="T133" s="24" t="str">
        <x:v>Atlas</x:v>
      </x:c>
      <x:c r="U133" s="24" t="str">
        <x:v>Atlas</x:v>
      </x:c>
      <x:c r="V133" s="24" t="str">
        <x:v>Atlas</x:v>
      </x:c>
      <x:c r="W133" s="24" t="str">
        <x:v>6/6 actuelles</x:v>
      </x:c>
      <x:c r="X133" s="24" t="str">
        <x:v>6/6 actuelles</x:v>
      </x:c>
      <x:c r="Y133" s="24" t="str">
        <x:v>Non consignée</x:v>
      </x:c>
      <x:c r="Z133" s="24" t="str">
        <x:v>Périmée (0/6)</x:v>
      </x:c>
      <x:c r="AA133" s="23" t="str">
        <x:v>Validation navigateur passée. Publication exacte en attente de Thanh.</x:v>
      </x:c>
      <x:c r="AB133" s="21" t="str">
        <x:v>674f752f62b3179c8a21300c7796024f5935efc1</x:v>
      </x:c>
      <x:c r="AC133" s="21" t="str">
        <x:v>En cours</x:v>
      </x:c>
    </x:row>
    <x:row r="134" ht="40" customHeight="1">
      <x:c r="A134" s="22" t="str">
        <x:v>Dauphin</x:v>
      </x:c>
      <x:c r="B134" s="22" t="str">
        <x:v>dolphin</x:v>
      </x:c>
      <x:c r="C134" s="26" t="n">
        <x:v>124</x:v>
      </x:c>
      <x:c r="D134" s="24" t="str">
        <x:v>Lot 12</x:v>
      </x:c>
      <x:c r="E134" s="25" t="str">
        <x:v>Animaux</x:v>
      </x:c>
      <x:c r="F134" s="24" t="str">
        <x:f>IF(AND(G134=8,COUNTIF(Q134:V134,"Atlas")=6),"Intégré","À faire")</x:f>
        <x:v>Intégré</x:v>
      </x:c>
      <x:c r="G134" s="27" t="n">
        <x:f>COUNTIF(I134:P134,"Présent")</x:f>
        <x:v>8</x:v>
      </x:c>
      <x:c r="H134" s="24" t="str">
        <x:v>Archivé Drive</x:v>
      </x:c>
      <x:c r="I134" s="24" t="str">
        <x:v>Présent</x:v>
      </x:c>
      <x:c r="J134" s="24" t="str">
        <x:v>Présent</x:v>
      </x:c>
      <x:c r="K134" s="24" t="str">
        <x:v>Présent</x:v>
      </x:c>
      <x:c r="L134" s="24" t="str">
        <x:v>Présent</x:v>
      </x:c>
      <x:c r="M134" s="24" t="str">
        <x:v>Présent</x:v>
      </x:c>
      <x:c r="N134" s="24" t="str">
        <x:v>Présent</x:v>
      </x:c>
      <x:c r="O134" s="24" t="str">
        <x:v>Présent</x:v>
      </x:c>
      <x:c r="P134" s="24" t="str">
        <x:v>Présent</x:v>
      </x:c>
      <x:c r="Q134" s="24" t="str">
        <x:v>Atlas</x:v>
      </x:c>
      <x:c r="R134" s="24" t="str">
        <x:v>Atlas</x:v>
      </x:c>
      <x:c r="S134" s="24" t="str">
        <x:v>Atlas</x:v>
      </x:c>
      <x:c r="T134" s="24" t="str">
        <x:v>Atlas</x:v>
      </x:c>
      <x:c r="U134" s="24" t="str">
        <x:v>Atlas</x:v>
      </x:c>
      <x:c r="V134" s="24" t="str">
        <x:v>Atlas</x:v>
      </x:c>
      <x:c r="W134" s="24" t="str">
        <x:v>6/6 actuelles</x:v>
      </x:c>
      <x:c r="X134" s="24" t="str">
        <x:v>6/6 actuelles</x:v>
      </x:c>
      <x:c r="Y134" s="24" t="str">
        <x:v>Non consignée</x:v>
      </x:c>
      <x:c r="Z134" s="24" t="str">
        <x:v>Périmée (0/6)</x:v>
      </x:c>
      <x:c r="AA134" s="23" t="str">
        <x:v>Validation navigateur passée. Publication exacte en attente de Thanh.</x:v>
      </x:c>
      <x:c r="AB134" s="21" t="str">
        <x:v>674f752f62b3179c8a21300c7796024f5935efc1</x:v>
      </x:c>
      <x:c r="AC134" s="21" t="str">
        <x:v>En cours</x:v>
      </x:c>
    </x:row>
    <x:row r="135" ht="40" customHeight="1">
      <x:c r="A135" s="22" t="str">
        <x:v>Défunt / Personne décédée</x:v>
      </x:c>
      <x:c r="B135" s="22" t="str">
        <x:v>deceased-person</x:v>
      </x:c>
      <x:c r="C135" s="26" t="n">
        <x:v>125</x:v>
      </x:c>
      <x:c r="D135" s="24" t="str">
        <x:v>Lot 08</x:v>
      </x:c>
      <x:c r="E135" s="25" t="str">
        <x:v>Personnes</x:v>
      </x:c>
      <x:c r="F135" s="24" t="str">
        <x:f>IF(AND(G135=8,COUNTIF(Q135:V135,"Atlas")=6),"Intégré","À faire")</x:f>
        <x:v>Intégré</x:v>
      </x:c>
      <x:c r="G135" s="27" t="n">
        <x:f>COUNTIF(I135:P135,"Présent")</x:f>
        <x:v>8</x:v>
      </x:c>
      <x:c r="H135" s="24" t="str">
        <x:v>Archivé Drive</x:v>
      </x:c>
      <x:c r="I135" s="24" t="str">
        <x:v>Présent</x:v>
      </x:c>
      <x:c r="J135" s="24" t="str">
        <x:v>Présent</x:v>
      </x:c>
      <x:c r="K135" s="24" t="str">
        <x:v>Présent</x:v>
      </x:c>
      <x:c r="L135" s="24" t="str">
        <x:v>Présent</x:v>
      </x:c>
      <x:c r="M135" s="24" t="str">
        <x:v>Présent</x:v>
      </x:c>
      <x:c r="N135" s="24" t="str">
        <x:v>Présent</x:v>
      </x:c>
      <x:c r="O135" s="24" t="str">
        <x:v>Présent</x:v>
      </x:c>
      <x:c r="P135" s="24" t="str">
        <x:v>Présent</x:v>
      </x:c>
      <x:c r="Q135" s="24" t="str">
        <x:v>Atlas</x:v>
      </x:c>
      <x:c r="R135" s="24" t="str">
        <x:v>Atlas</x:v>
      </x:c>
      <x:c r="S135" s="24" t="str">
        <x:v>Atlas</x:v>
      </x:c>
      <x:c r="T135" s="24" t="str">
        <x:v>Atlas</x:v>
      </x:c>
      <x:c r="U135" s="24" t="str">
        <x:v>Atlas</x:v>
      </x:c>
      <x:c r="V135" s="24" t="str">
        <x:v>Atlas</x:v>
      </x:c>
      <x:c r="W135" s="24" t="str">
        <x:v>6/6 actuelles</x:v>
      </x:c>
      <x:c r="X135" s="24" t="str">
        <x:v>6/6 actuelles</x:v>
      </x:c>
      <x:c r="Y135" s="24" t="str">
        <x:v>Non consignée</x:v>
      </x:c>
      <x:c r="Z135" s="24" t="str">
        <x:v>Périmée (0/6)</x:v>
      </x:c>
      <x:c r="AA135" s="23" t="str">
        <x:v>Validation navigateur passée. Publication exacte en attente de Thanh.</x:v>
      </x:c>
      <x:c r="AB135" s="21" t="str">
        <x:v>674f752f62b3179c8a21300c7796024f5935efc1</x:v>
      </x:c>
      <x:c r="AC135" s="21" t="str">
        <x:v>En cours</x:v>
      </x:c>
    </x:row>
    <x:row r="136" ht="40" customHeight="1">
      <x:c r="A136" s="22" t="str">
        <x:v>Déménagement</x:v>
      </x:c>
      <x:c r="B136" s="22" t="str">
        <x:v>moving-house</x:v>
      </x:c>
      <x:c r="C136" s="26" t="n">
        <x:v>126</x:v>
      </x:c>
      <x:c r="D136" s="24" t="str">
        <x:v>Lot 13</x:v>
      </x:c>
      <x:c r="E136" s="25" t="str">
        <x:v>Actions</x:v>
      </x:c>
      <x:c r="F136" s="24" t="str">
        <x:f>IF(AND(G136=8,COUNTIF(Q136:V136,"Atlas")=6),"Intégré","À faire")</x:f>
        <x:v>Intégré</x:v>
      </x:c>
      <x:c r="G136" s="27" t="n">
        <x:f>COUNTIF(I136:P136,"Présent")</x:f>
        <x:v>8</x:v>
      </x:c>
      <x:c r="H136" s="24" t="str">
        <x:v>Archivé Drive</x:v>
      </x:c>
      <x:c r="I136" s="24" t="str">
        <x:v>Présent</x:v>
      </x:c>
      <x:c r="J136" s="24" t="str">
        <x:v>Présent</x:v>
      </x:c>
      <x:c r="K136" s="24" t="str">
        <x:v>Présent</x:v>
      </x:c>
      <x:c r="L136" s="24" t="str">
        <x:v>Présent</x:v>
      </x:c>
      <x:c r="M136" s="24" t="str">
        <x:v>Présent</x:v>
      </x:c>
      <x:c r="N136" s="24" t="str">
        <x:v>Présent</x:v>
      </x:c>
      <x:c r="O136" s="24" t="str">
        <x:v>Présent</x:v>
      </x:c>
      <x:c r="P136" s="24" t="str">
        <x:v>Présent</x:v>
      </x:c>
      <x:c r="Q136" s="24" t="str">
        <x:v>Atlas</x:v>
      </x:c>
      <x:c r="R136" s="24" t="str">
        <x:v>Atlas</x:v>
      </x:c>
      <x:c r="S136" s="24" t="str">
        <x:v>Atlas</x:v>
      </x:c>
      <x:c r="T136" s="24" t="str">
        <x:v>Atlas</x:v>
      </x:c>
      <x:c r="U136" s="24" t="str">
        <x:v>Atlas</x:v>
      </x:c>
      <x:c r="V136" s="24" t="str">
        <x:v>Atlas</x:v>
      </x:c>
      <x:c r="W136" s="24" t="str">
        <x:v>6/6 actuelles</x:v>
      </x:c>
      <x:c r="X136" s="24" t="str">
        <x:v>6/6 actuelles</x:v>
      </x:c>
      <x:c r="Y136" s="24" t="str">
        <x:v>Non consignée</x:v>
      </x:c>
      <x:c r="Z136" s="24" t="str">
        <x:v>Périmée (0/6)</x:v>
      </x:c>
      <x:c r="AA136" s="23" t="str">
        <x:v>Validation navigateur passée. Publication exacte en attente de Thanh.</x:v>
      </x:c>
      <x:c r="AB136" s="21" t="str">
        <x:v>674f752f62b3179c8a21300c7796024f5935efc1</x:v>
      </x:c>
      <x:c r="AC136" s="21" t="str">
        <x:v>En cours</x:v>
      </x:c>
    </x:row>
    <x:row r="137" ht="40" customHeight="1">
      <x:c r="A137" s="22" t="str">
        <x:v>Démon</x:v>
      </x:c>
      <x:c r="B137" s="22" t="str">
        <x:v>demon</x:v>
      </x:c>
      <x:c r="C137" s="26" t="n">
        <x:v>127</x:v>
      </x:c>
      <x:c r="D137" s="24" t="str">
        <x:v>Lot 11</x:v>
      </x:c>
      <x:c r="E137" s="25" t="str">
        <x:v>Personnes</x:v>
      </x:c>
      <x:c r="F137" s="24" t="str">
        <x:f>IF(AND(G137=8,COUNTIF(Q137:V137,"Atlas")=6),"Intégré","À faire")</x:f>
        <x:v>Intégré</x:v>
      </x:c>
      <x:c r="G137" s="27" t="n">
        <x:f>COUNTIF(I137:P137,"Présent")</x:f>
        <x:v>8</x:v>
      </x:c>
      <x:c r="H137" s="24" t="str">
        <x:v>Archivé Drive</x:v>
      </x:c>
      <x:c r="I137" s="24" t="str">
        <x:v>Présent</x:v>
      </x:c>
      <x:c r="J137" s="24" t="str">
        <x:v>Présent</x:v>
      </x:c>
      <x:c r="K137" s="24" t="str">
        <x:v>Présent</x:v>
      </x:c>
      <x:c r="L137" s="24" t="str">
        <x:v>Présent</x:v>
      </x:c>
      <x:c r="M137" s="24" t="str">
        <x:v>Présent</x:v>
      </x:c>
      <x:c r="N137" s="24" t="str">
        <x:v>Présent</x:v>
      </x:c>
      <x:c r="O137" s="24" t="str">
        <x:v>Présent</x:v>
      </x:c>
      <x:c r="P137" s="24" t="str">
        <x:v>Présent</x:v>
      </x:c>
      <x:c r="Q137" s="24" t="str">
        <x:v>Atlas</x:v>
      </x:c>
      <x:c r="R137" s="24" t="str">
        <x:v>Atlas</x:v>
      </x:c>
      <x:c r="S137" s="24" t="str">
        <x:v>Atlas</x:v>
      </x:c>
      <x:c r="T137" s="24" t="str">
        <x:v>Atlas</x:v>
      </x:c>
      <x:c r="U137" s="24" t="str">
        <x:v>Atlas</x:v>
      </x:c>
      <x:c r="V137" s="24" t="str">
        <x:v>Atlas</x:v>
      </x:c>
      <x:c r="W137" s="24" t="str">
        <x:v>6/6 actuelles</x:v>
      </x:c>
      <x:c r="X137" s="24" t="str">
        <x:v>6/6 actuelles</x:v>
      </x:c>
      <x:c r="Y137" s="24" t="str">
        <x:v>Non consignée</x:v>
      </x:c>
      <x:c r="Z137" s="24" t="str">
        <x:v>Périmée (0/6)</x:v>
      </x:c>
      <x:c r="AA137" s="23" t="str">
        <x:v>Validation navigateur passée. Publication exacte en attente de Thanh.</x:v>
      </x:c>
      <x:c r="AB137" s="21" t="str">
        <x:v>674f752f62b3179c8a21300c7796024f5935efc1</x:v>
      </x:c>
      <x:c r="AC137" s="21" t="str">
        <x:v>En cours</x:v>
      </x:c>
    </x:row>
    <x:row r="138" ht="40" customHeight="1">
      <x:c r="A138" s="22" t="str">
        <x:v>Dieu</x:v>
      </x:c>
      <x:c r="B138" s="22" t="str">
        <x:v>god</x:v>
      </x:c>
      <x:c r="C138" s="26" t="n">
        <x:v>128</x:v>
      </x:c>
      <x:c r="D138" s="24" t="str">
        <x:v>Lot 14</x:v>
      </x:c>
      <x:c r="E138" s="25" t="str">
        <x:v>Ciel</x:v>
      </x:c>
      <x:c r="F138" s="24" t="str">
        <x:f>IF(AND(G138=8,COUNTIF(Q138:V138,"Atlas")=6),"Intégré","À faire")</x:f>
        <x:v>Intégré</x:v>
      </x:c>
      <x:c r="G138" s="27" t="n">
        <x:f>COUNTIF(I138:P138,"Présent")</x:f>
        <x:v>8</x:v>
      </x:c>
      <x:c r="H138" s="24" t="str">
        <x:v>Archivé Drive</x:v>
      </x:c>
      <x:c r="I138" s="24" t="str">
        <x:v>Présent</x:v>
      </x:c>
      <x:c r="J138" s="24" t="str">
        <x:v>Présent</x:v>
      </x:c>
      <x:c r="K138" s="24" t="str">
        <x:v>Présent</x:v>
      </x:c>
      <x:c r="L138" s="24" t="str">
        <x:v>Présent</x:v>
      </x:c>
      <x:c r="M138" s="24" t="str">
        <x:v>Présent</x:v>
      </x:c>
      <x:c r="N138" s="24" t="str">
        <x:v>Présent</x:v>
      </x:c>
      <x:c r="O138" s="24" t="str">
        <x:v>Présent</x:v>
      </x:c>
      <x:c r="P138" s="24" t="str">
        <x:v>Présent</x:v>
      </x:c>
      <x:c r="Q138" s="24" t="str">
        <x:v>Atlas</x:v>
      </x:c>
      <x:c r="R138" s="24" t="str">
        <x:v>Atlas</x:v>
      </x:c>
      <x:c r="S138" s="24" t="str">
        <x:v>Atlas</x:v>
      </x:c>
      <x:c r="T138" s="24" t="str">
        <x:v>Atlas</x:v>
      </x:c>
      <x:c r="U138" s="24" t="str">
        <x:v>Atlas</x:v>
      </x:c>
      <x:c r="V138" s="24" t="str">
        <x:v>Atlas</x:v>
      </x:c>
      <x:c r="W138" s="24" t="str">
        <x:v>6/6 actuelles</x:v>
      </x:c>
      <x:c r="X138" s="24" t="str">
        <x:v>6/6 actuelles</x:v>
      </x:c>
      <x:c r="Y138" s="24" t="str">
        <x:v>Non consignée</x:v>
      </x:c>
      <x:c r="Z138" s="24" t="str">
        <x:v>Périmée (0/6)</x:v>
      </x:c>
      <x:c r="AA138" s="23" t="str">
        <x:v>Validation navigateur passée. Publication exacte en attente de Thanh.</x:v>
      </x:c>
      <x:c r="AB138" s="21" t="str">
        <x:v>674f752f62b3179c8a21300c7796024f5935efc1</x:v>
      </x:c>
      <x:c r="AC138" s="21" t="str">
        <x:v>En cours</x:v>
      </x:c>
    </x:row>
    <x:row r="139" ht="40" customHeight="1">
      <x:c r="A139" s="22" t="str">
        <x:v>Dispute</x:v>
      </x:c>
      <x:c r="B139" s="22" t="str">
        <x:v>arguing</x:v>
      </x:c>
      <x:c r="C139" s="26" t="n">
        <x:v>129</x:v>
      </x:c>
      <x:c r="D139" s="24" t="str">
        <x:v>Lot 10</x:v>
      </x:c>
      <x:c r="E139" s="25" t="str">
        <x:v>Actions</x:v>
      </x:c>
      <x:c r="F139" s="24" t="str">
        <x:f>IF(AND(G139=8,COUNTIF(Q139:V139,"Atlas")=6),"Intégré","À faire")</x:f>
        <x:v>Intégré</x:v>
      </x:c>
      <x:c r="G139" s="27" t="n">
        <x:f>COUNTIF(I139:P139,"Présent")</x:f>
        <x:v>8</x:v>
      </x:c>
      <x:c r="H139" s="24" t="str">
        <x:v>Archivé Drive</x:v>
      </x:c>
      <x:c r="I139" s="24" t="str">
        <x:v>Présent</x:v>
      </x:c>
      <x:c r="J139" s="24" t="str">
        <x:v>Présent</x:v>
      </x:c>
      <x:c r="K139" s="24" t="str">
        <x:v>Présent</x:v>
      </x:c>
      <x:c r="L139" s="24" t="str">
        <x:v>Présent</x:v>
      </x:c>
      <x:c r="M139" s="24" t="str">
        <x:v>Présent</x:v>
      </x:c>
      <x:c r="N139" s="24" t="str">
        <x:v>Présent</x:v>
      </x:c>
      <x:c r="O139" s="24" t="str">
        <x:v>Présent</x:v>
      </x:c>
      <x:c r="P139" s="24" t="str">
        <x:v>Présent</x:v>
      </x:c>
      <x:c r="Q139" s="24" t="str">
        <x:v>Atlas</x:v>
      </x:c>
      <x:c r="R139" s="24" t="str">
        <x:v>Atlas</x:v>
      </x:c>
      <x:c r="S139" s="24" t="str">
        <x:v>Atlas</x:v>
      </x:c>
      <x:c r="T139" s="24" t="str">
        <x:v>Atlas</x:v>
      </x:c>
      <x:c r="U139" s="24" t="str">
        <x:v>Atlas</x:v>
      </x:c>
      <x:c r="V139" s="24" t="str">
        <x:v>Atlas</x:v>
      </x:c>
      <x:c r="W139" s="24" t="str">
        <x:v>6/6 actuelles</x:v>
      </x:c>
      <x:c r="X139" s="24" t="str">
        <x:v>6/6 actuelles</x:v>
      </x:c>
      <x:c r="Y139" s="24" t="str">
        <x:v>Non consignée</x:v>
      </x:c>
      <x:c r="Z139" s="24" t="str">
        <x:v>Périmée (0/6)</x:v>
      </x:c>
      <x:c r="AA139" s="23" t="str">
        <x:v>Validation navigateur passée. Publication exacte en attente de Thanh.</x:v>
      </x:c>
      <x:c r="AB139" s="21" t="str">
        <x:v>674f752f62b3179c8a21300c7796024f5935efc1</x:v>
      </x:c>
      <x:c r="AC139" s="21" t="str">
        <x:v>En cours</x:v>
      </x:c>
    </x:row>
    <x:row r="140" ht="40" customHeight="1">
      <x:c r="A140" s="22" t="str">
        <x:v>Éclair</x:v>
      </x:c>
      <x:c r="B140" s="22" t="str">
        <x:v>lightning</x:v>
      </x:c>
      <x:c r="C140" s="26" t="n">
        <x:v>130</x:v>
      </x:c>
      <x:c r="D140" s="24" t="str">
        <x:v>Lot 09</x:v>
      </x:c>
      <x:c r="E140" s="25" t="str">
        <x:v>Nature</x:v>
      </x:c>
      <x:c r="F140" s="24" t="str">
        <x:f>IF(AND(G140=8,COUNTIF(Q140:V140,"Atlas")=6),"Intégré","À faire")</x:f>
        <x:v>Intégré</x:v>
      </x:c>
      <x:c r="G140" s="27" t="n">
        <x:f>COUNTIF(I140:P140,"Présent")</x:f>
        <x:v>8</x:v>
      </x:c>
      <x:c r="H140" s="24" t="str">
        <x:v>Archivé local</x:v>
      </x:c>
      <x:c r="I140" s="24" t="str">
        <x:v>Présent</x:v>
      </x:c>
      <x:c r="J140" s="24" t="str">
        <x:v>Présent</x:v>
      </x:c>
      <x:c r="K140" s="24" t="str">
        <x:v>Présent</x:v>
      </x:c>
      <x:c r="L140" s="24" t="str">
        <x:v>Présent</x:v>
      </x:c>
      <x:c r="M140" s="24" t="str">
        <x:v>Présent</x:v>
      </x:c>
      <x:c r="N140" s="24" t="str">
        <x:v>Présent</x:v>
      </x:c>
      <x:c r="O140" s="24" t="str">
        <x:v>Présent</x:v>
      </x:c>
      <x:c r="P140" s="24" t="str">
        <x:v>Présent</x:v>
      </x:c>
      <x:c r="Q140" s="24" t="str">
        <x:v>Atlas</x:v>
      </x:c>
      <x:c r="R140" s="24" t="str">
        <x:v>Atlas</x:v>
      </x:c>
      <x:c r="S140" s="24" t="str">
        <x:v>Atlas</x:v>
      </x:c>
      <x:c r="T140" s="24" t="str">
        <x:v>Atlas</x:v>
      </x:c>
      <x:c r="U140" s="24" t="str">
        <x:v>Atlas</x:v>
      </x:c>
      <x:c r="V140" s="24" t="str">
        <x:v>Atlas</x:v>
      </x:c>
      <x:c r="W140" s="24" t="str">
        <x:v>6/6 actuelles</x:v>
      </x:c>
      <x:c r="X140" s="24" t="str">
        <x:v>6/6 actuelles</x:v>
      </x:c>
      <x:c r="Y140" s="24" t="str">
        <x:v>Non consignée</x:v>
      </x:c>
      <x:c r="Z140" s="24" t="str">
        <x:v>Périmée (0/6)</x:v>
      </x:c>
      <x:c r="AA140" s="23" t="str">
        <x:v>Validation navigateur passée. Publication exacte en attente de Thanh.</x:v>
      </x:c>
      <x:c r="AB140" s="21" t="str">
        <x:v>674f752f62b3179c8a21300c7796024f5935efc1</x:v>
      </x:c>
      <x:c r="AC140" s="21" t="str">
        <x:v>En cours</x:v>
      </x:c>
    </x:row>
    <x:row r="141" ht="40" customHeight="1">
      <x:c r="A141" s="22" t="str">
        <x:v>École</x:v>
      </x:c>
      <x:c r="B141" s="22" t="str">
        <x:v>school</x:v>
      </x:c>
      <x:c r="C141" s="26" t="n">
        <x:v>131</x:v>
      </x:c>
      <x:c r="D141" s="24" t="str">
        <x:v>Lot 08</x:v>
      </x:c>
      <x:c r="E141" s="25" t="str">
        <x:v>Lieux</x:v>
      </x:c>
      <x:c r="F141" s="24" t="str">
        <x:f>IF(AND(G141=8,COUNTIF(Q141:V141,"Atlas")=6),"Intégré","À faire")</x:f>
        <x:v>Intégré</x:v>
      </x:c>
      <x:c r="G141" s="27" t="n">
        <x:f>COUNTIF(I141:P141,"Présent")</x:f>
        <x:v>8</x:v>
      </x:c>
      <x:c r="H141" s="24" t="str">
        <x:v>Archivé Drive</x:v>
      </x:c>
      <x:c r="I141" s="24" t="str">
        <x:v>Présent</x:v>
      </x:c>
      <x:c r="J141" s="24" t="str">
        <x:v>Présent</x:v>
      </x:c>
      <x:c r="K141" s="24" t="str">
        <x:v>Présent</x:v>
      </x:c>
      <x:c r="L141" s="24" t="str">
        <x:v>Présent</x:v>
      </x:c>
      <x:c r="M141" s="24" t="str">
        <x:v>Présent</x:v>
      </x:c>
      <x:c r="N141" s="24" t="str">
        <x:v>Présent</x:v>
      </x:c>
      <x:c r="O141" s="24" t="str">
        <x:v>Présent</x:v>
      </x:c>
      <x:c r="P141" s="24" t="str">
        <x:v>Présent</x:v>
      </x:c>
      <x:c r="Q141" s="24" t="str">
        <x:v>Atlas</x:v>
      </x:c>
      <x:c r="R141" s="24" t="str">
        <x:v>Atlas</x:v>
      </x:c>
      <x:c r="S141" s="24" t="str">
        <x:v>Atlas</x:v>
      </x:c>
      <x:c r="T141" s="24" t="str">
        <x:v>Atlas</x:v>
      </x:c>
      <x:c r="U141" s="24" t="str">
        <x:v>Atlas</x:v>
      </x:c>
      <x:c r="V141" s="24" t="str">
        <x:v>Atlas</x:v>
      </x:c>
      <x:c r="W141" s="24" t="str">
        <x:v>6/6 actuelles</x:v>
      </x:c>
      <x:c r="X141" s="24" t="str">
        <x:v>6/6 actuelles</x:v>
      </x:c>
      <x:c r="Y141" s="24" t="str">
        <x:v>Non consignée</x:v>
      </x:c>
      <x:c r="Z141" s="24" t="str">
        <x:v>Périmée (0/6)</x:v>
      </x:c>
      <x:c r="AA141" s="23" t="str">
        <x:v>Validation navigateur passée. Publication exacte en attente de Thanh.</x:v>
      </x:c>
      <x:c r="AB141" s="21" t="str">
        <x:v>674f752f62b3179c8a21300c7796024f5935efc1</x:v>
      </x:c>
      <x:c r="AC141" s="21" t="str">
        <x:v>En cours</x:v>
      </x:c>
    </x:row>
    <x:row r="142" ht="40" customHeight="1">
      <x:c r="A142" s="22" t="str">
        <x:v>Église</x:v>
      </x:c>
      <x:c r="B142" s="22" t="str">
        <x:v>church</x:v>
      </x:c>
      <x:c r="C142" s="26" t="n">
        <x:v>132</x:v>
      </x:c>
      <x:c r="D142" s="24" t="str">
        <x:v>Lot 13</x:v>
      </x:c>
      <x:c r="E142" s="25" t="str">
        <x:v>Lieux</x:v>
      </x:c>
      <x:c r="F142" s="24" t="str">
        <x:f>IF(AND(G142=8,COUNTIF(Q142:V142,"Atlas")=6),"Intégré","À faire")</x:f>
        <x:v>Intégré</x:v>
      </x:c>
      <x:c r="G142" s="27" t="n">
        <x:f>COUNTIF(I142:P142,"Présent")</x:f>
        <x:v>8</x:v>
      </x:c>
      <x:c r="H142" s="24" t="str">
        <x:v>Archivé Drive</x:v>
      </x:c>
      <x:c r="I142" s="24" t="str">
        <x:v>Présent</x:v>
      </x:c>
      <x:c r="J142" s="24" t="str">
        <x:v>Présent</x:v>
      </x:c>
      <x:c r="K142" s="24" t="str">
        <x:v>Présent</x:v>
      </x:c>
      <x:c r="L142" s="24" t="str">
        <x:v>Présent</x:v>
      </x:c>
      <x:c r="M142" s="24" t="str">
        <x:v>Présent</x:v>
      </x:c>
      <x:c r="N142" s="24" t="str">
        <x:v>Présent</x:v>
      </x:c>
      <x:c r="O142" s="24" t="str">
        <x:v>Présent</x:v>
      </x:c>
      <x:c r="P142" s="24" t="str">
        <x:v>Présent</x:v>
      </x:c>
      <x:c r="Q142" s="24" t="str">
        <x:v>Atlas</x:v>
      </x:c>
      <x:c r="R142" s="24" t="str">
        <x:v>Atlas</x:v>
      </x:c>
      <x:c r="S142" s="24" t="str">
        <x:v>Atlas</x:v>
      </x:c>
      <x:c r="T142" s="24" t="str">
        <x:v>Atlas</x:v>
      </x:c>
      <x:c r="U142" s="24" t="str">
        <x:v>Atlas</x:v>
      </x:c>
      <x:c r="V142" s="24" t="str">
        <x:v>Atlas</x:v>
      </x:c>
      <x:c r="W142" s="24" t="str">
        <x:v>6/6 actuelles</x:v>
      </x:c>
      <x:c r="X142" s="24" t="str">
        <x:v>6/6 actuelles</x:v>
      </x:c>
      <x:c r="Y142" s="24" t="str">
        <x:v>Non consignée</x:v>
      </x:c>
      <x:c r="Z142" s="24" t="str">
        <x:v>Périmée (0/6)</x:v>
      </x:c>
      <x:c r="AA142" s="23" t="str">
        <x:v>Validation navigateur passée. Publication exacte en attente de Thanh.</x:v>
      </x:c>
      <x:c r="AB142" s="21" t="str">
        <x:v>674f752f62b3179c8a21300c7796024f5935efc1</x:v>
      </x:c>
      <x:c r="AC142" s="21" t="str">
        <x:v>En cours</x:v>
      </x:c>
    </x:row>
    <x:row r="143" ht="40" customHeight="1">
      <x:c r="A143" s="22" t="str">
        <x:v>Éléphant</x:v>
      </x:c>
      <x:c r="B143" s="22" t="str">
        <x:v>elephant</x:v>
      </x:c>
      <x:c r="C143" s="26" t="n">
        <x:v>133</x:v>
      </x:c>
      <x:c r="D143" s="24" t="str">
        <x:v>Lot 12</x:v>
      </x:c>
      <x:c r="E143" s="25" t="str">
        <x:v>Animaux</x:v>
      </x:c>
      <x:c r="F143" s="24" t="str">
        <x:f>IF(AND(G143=8,COUNTIF(Q143:V143,"Atlas")=6),"Intégré","À faire")</x:f>
        <x:v>Intégré</x:v>
      </x:c>
      <x:c r="G143" s="27" t="n">
        <x:f>COUNTIF(I143:P143,"Présent")</x:f>
        <x:v>8</x:v>
      </x:c>
      <x:c r="H143" s="24" t="str">
        <x:v>Archivé Drive</x:v>
      </x:c>
      <x:c r="I143" s="24" t="str">
        <x:v>Présent</x:v>
      </x:c>
      <x:c r="J143" s="24" t="str">
        <x:v>Présent</x:v>
      </x:c>
      <x:c r="K143" s="24" t="str">
        <x:v>Présent</x:v>
      </x:c>
      <x:c r="L143" s="24" t="str">
        <x:v>Présent</x:v>
      </x:c>
      <x:c r="M143" s="24" t="str">
        <x:v>Présent</x:v>
      </x:c>
      <x:c r="N143" s="24" t="str">
        <x:v>Présent</x:v>
      </x:c>
      <x:c r="O143" s="24" t="str">
        <x:v>Présent</x:v>
      </x:c>
      <x:c r="P143" s="24" t="str">
        <x:v>Présent</x:v>
      </x:c>
      <x:c r="Q143" s="24" t="str">
        <x:v>Atlas</x:v>
      </x:c>
      <x:c r="R143" s="24" t="str">
        <x:v>Atlas</x:v>
      </x:c>
      <x:c r="S143" s="24" t="str">
        <x:v>Atlas</x:v>
      </x:c>
      <x:c r="T143" s="24" t="str">
        <x:v>Atlas</x:v>
      </x:c>
      <x:c r="U143" s="24" t="str">
        <x:v>Atlas</x:v>
      </x:c>
      <x:c r="V143" s="24" t="str">
        <x:v>Atlas</x:v>
      </x:c>
      <x:c r="W143" s="24" t="str">
        <x:v>6/6 actuelles</x:v>
      </x:c>
      <x:c r="X143" s="24" t="str">
        <x:v>6/6 actuelles</x:v>
      </x:c>
      <x:c r="Y143" s="24" t="str">
        <x:v>Non consignée</x:v>
      </x:c>
      <x:c r="Z143" s="24" t="str">
        <x:v>Périmée (0/6)</x:v>
      </x:c>
      <x:c r="AA143" s="23" t="str">
        <x:v>Validation navigateur passée. Publication exacte en attente de Thanh.</x:v>
      </x:c>
      <x:c r="AB143" s="21" t="str">
        <x:v>674f752f62b3179c8a21300c7796024f5935efc1</x:v>
      </x:c>
      <x:c r="AC143" s="21" t="str">
        <x:v>En cours</x:v>
      </x:c>
    </x:row>
    <x:row r="144" ht="40" customHeight="1">
      <x:c r="A144" s="22" t="str">
        <x:v>Embrasser / Baiser</x:v>
      </x:c>
      <x:c r="B144" s="22" t="str">
        <x:v>kissing</x:v>
      </x:c>
      <x:c r="C144" s="26" t="n">
        <x:v>134</x:v>
      </x:c>
      <x:c r="D144" s="24" t="str">
        <x:v>Lot 13</x:v>
      </x:c>
      <x:c r="E144" s="25" t="str">
        <x:v>Actions</x:v>
      </x:c>
      <x:c r="F144" s="24" t="str">
        <x:f>IF(AND(G144=8,COUNTIF(Q144:V144,"Atlas")=6),"Intégré","À faire")</x:f>
        <x:v>Intégré</x:v>
      </x:c>
      <x:c r="G144" s="27" t="n">
        <x:f>COUNTIF(I144:P144,"Présent")</x:f>
        <x:v>8</x:v>
      </x:c>
      <x:c r="H144" s="24" t="str">
        <x:v>Archivé Drive</x:v>
      </x:c>
      <x:c r="I144" s="24" t="str">
        <x:v>Présent</x:v>
      </x:c>
      <x:c r="J144" s="24" t="str">
        <x:v>Présent</x:v>
      </x:c>
      <x:c r="K144" s="24" t="str">
        <x:v>Présent</x:v>
      </x:c>
      <x:c r="L144" s="24" t="str">
        <x:v>Présent</x:v>
      </x:c>
      <x:c r="M144" s="24" t="str">
        <x:v>Présent</x:v>
      </x:c>
      <x:c r="N144" s="24" t="str">
        <x:v>Présent</x:v>
      </x:c>
      <x:c r="O144" s="24" t="str">
        <x:v>Présent</x:v>
      </x:c>
      <x:c r="P144" s="24" t="str">
        <x:v>Présent</x:v>
      </x:c>
      <x:c r="Q144" s="24" t="str">
        <x:v>Atlas</x:v>
      </x:c>
      <x:c r="R144" s="24" t="str">
        <x:v>Atlas</x:v>
      </x:c>
      <x:c r="S144" s="24" t="str">
        <x:v>Atlas</x:v>
      </x:c>
      <x:c r="T144" s="24" t="str">
        <x:v>Atlas</x:v>
      </x:c>
      <x:c r="U144" s="24" t="str">
        <x:v>Atlas</x:v>
      </x:c>
      <x:c r="V144" s="24" t="str">
        <x:v>Atlas</x:v>
      </x:c>
      <x:c r="W144" s="24" t="str">
        <x:v>6/6 actuelles</x:v>
      </x:c>
      <x:c r="X144" s="24" t="str">
        <x:v>6/6 actuelles</x:v>
      </x:c>
      <x:c r="Y144" s="24" t="str">
        <x:v>Non consignée</x:v>
      </x:c>
      <x:c r="Z144" s="24" t="str">
        <x:v>Périmée (0/6)</x:v>
      </x:c>
      <x:c r="AA144" s="23" t="str">
        <x:v>Validation navigateur passée. Publication exacte en attente de Thanh.</x:v>
      </x:c>
      <x:c r="AB144" s="21" t="str">
        <x:v>674f752f62b3179c8a21300c7796024f5935efc1</x:v>
      </x:c>
      <x:c r="AC144" s="21" t="str">
        <x:v>En cours</x:v>
      </x:c>
    </x:row>
    <x:row r="145" ht="40" customHeight="1">
      <x:c r="A145" s="22" t="str">
        <x:v>Enfant</x:v>
      </x:c>
      <x:c r="B145" s="22" t="str">
        <x:v>child</x:v>
      </x:c>
      <x:c r="C145" s="26" t="n">
        <x:v>135</x:v>
      </x:c>
      <x:c r="D145" s="24" t="str">
        <x:v>Lot 08</x:v>
      </x:c>
      <x:c r="E145" s="25" t="str">
        <x:v>Personnes</x:v>
      </x:c>
      <x:c r="F145" s="24" t="str">
        <x:f>IF(AND(G145=8,COUNTIF(Q145:V145,"Atlas")=6),"Intégré","À faire")</x:f>
        <x:v>Intégré</x:v>
      </x:c>
      <x:c r="G145" s="27" t="n">
        <x:f>COUNTIF(I145:P145,"Présent")</x:f>
        <x:v>8</x:v>
      </x:c>
      <x:c r="H145" s="24" t="str">
        <x:v>Archivé Drive</x:v>
      </x:c>
      <x:c r="I145" s="24" t="str">
        <x:v>Présent</x:v>
      </x:c>
      <x:c r="J145" s="24" t="str">
        <x:v>Présent</x:v>
      </x:c>
      <x:c r="K145" s="24" t="str">
        <x:v>Présent</x:v>
      </x:c>
      <x:c r="L145" s="24" t="str">
        <x:v>Présent</x:v>
      </x:c>
      <x:c r="M145" s="24" t="str">
        <x:v>Présent</x:v>
      </x:c>
      <x:c r="N145" s="24" t="str">
        <x:v>Présent</x:v>
      </x:c>
      <x:c r="O145" s="24" t="str">
        <x:v>Présent</x:v>
      </x:c>
      <x:c r="P145" s="24" t="str">
        <x:v>Présent</x:v>
      </x:c>
      <x:c r="Q145" s="24" t="str">
        <x:v>Atlas</x:v>
      </x:c>
      <x:c r="R145" s="24" t="str">
        <x:v>Atlas</x:v>
      </x:c>
      <x:c r="S145" s="24" t="str">
        <x:v>Atlas</x:v>
      </x:c>
      <x:c r="T145" s="24" t="str">
        <x:v>Atlas</x:v>
      </x:c>
      <x:c r="U145" s="24" t="str">
        <x:v>Atlas</x:v>
      </x:c>
      <x:c r="V145" s="24" t="str">
        <x:v>Atlas</x:v>
      </x:c>
      <x:c r="W145" s="24" t="str">
        <x:v>6/6 actuelles</x:v>
      </x:c>
      <x:c r="X145" s="24" t="str">
        <x:v>6/6 actuelles</x:v>
      </x:c>
      <x:c r="Y145" s="24" t="str">
        <x:v>Non consignée</x:v>
      </x:c>
      <x:c r="Z145" s="24" t="str">
        <x:v>Périmée (0/6)</x:v>
      </x:c>
      <x:c r="AA145" s="23" t="str">
        <x:v>Validation navigateur passée. Publication exacte en attente de Thanh.</x:v>
      </x:c>
      <x:c r="AB145" s="21" t="str">
        <x:v>674f752f62b3179c8a21300c7796024f5935efc1</x:v>
      </x:c>
      <x:c r="AC145" s="21" t="str">
        <x:v>En cours</x:v>
      </x:c>
    </x:row>
    <x:row r="146" ht="40" customHeight="1">
      <x:c r="A146" s="22" t="str">
        <x:v>Enlèvement</x:v>
      </x:c>
      <x:c r="B146" s="22" t="str">
        <x:v>kidnapping</x:v>
      </x:c>
      <x:c r="C146" s="26" t="n">
        <x:v>136</x:v>
      </x:c>
      <x:c r="D146" s="24" t="str">
        <x:v>Lot 13</x:v>
      </x:c>
      <x:c r="E146" s="25" t="str">
        <x:v>Actions</x:v>
      </x:c>
      <x:c r="F146" s="24" t="str">
        <x:f>IF(AND(G146=8,COUNTIF(Q146:V146,"Atlas")=6),"Intégré","À faire")</x:f>
        <x:v>Intégré</x:v>
      </x:c>
      <x:c r="G146" s="27" t="n">
        <x:f>COUNTIF(I146:P146,"Présent")</x:f>
        <x:v>8</x:v>
      </x:c>
      <x:c r="H146" s="24" t="str">
        <x:v>Archivé Drive</x:v>
      </x:c>
      <x:c r="I146" s="24" t="str">
        <x:v>Présent</x:v>
      </x:c>
      <x:c r="J146" s="24" t="str">
        <x:v>Présent</x:v>
      </x:c>
      <x:c r="K146" s="24" t="str">
        <x:v>Présent</x:v>
      </x:c>
      <x:c r="L146" s="24" t="str">
        <x:v>Présent</x:v>
      </x:c>
      <x:c r="M146" s="24" t="str">
        <x:v>Présent</x:v>
      </x:c>
      <x:c r="N146" s="24" t="str">
        <x:v>Présent</x:v>
      </x:c>
      <x:c r="O146" s="24" t="str">
        <x:v>Présent</x:v>
      </x:c>
      <x:c r="P146" s="24" t="str">
        <x:v>Présent</x:v>
      </x:c>
      <x:c r="Q146" s="24" t="str">
        <x:v>Atlas</x:v>
      </x:c>
      <x:c r="R146" s="24" t="str">
        <x:v>Atlas</x:v>
      </x:c>
      <x:c r="S146" s="24" t="str">
        <x:v>Atlas</x:v>
      </x:c>
      <x:c r="T146" s="24" t="str">
        <x:v>Atlas</x:v>
      </x:c>
      <x:c r="U146" s="24" t="str">
        <x:v>Atlas</x:v>
      </x:c>
      <x:c r="V146" s="24" t="str">
        <x:v>Atlas</x:v>
      </x:c>
      <x:c r="W146" s="24" t="str">
        <x:v>6/6 actuelles</x:v>
      </x:c>
      <x:c r="X146" s="24" t="str">
        <x:v>6/6 actuelles</x:v>
      </x:c>
      <x:c r="Y146" s="24" t="str">
        <x:v>Non consignée</x:v>
      </x:c>
      <x:c r="Z146" s="24" t="str">
        <x:v>Périmée (0/6)</x:v>
      </x:c>
      <x:c r="AA146" s="23" t="str">
        <x:v>Validation navigateur passée. Publication exacte en attente de Thanh.</x:v>
      </x:c>
      <x:c r="AB146" s="21" t="str">
        <x:v>674f752f62b3179c8a21300c7796024f5935efc1</x:v>
      </x:c>
      <x:c r="AC146" s="21" t="str">
        <x:v>En cours</x:v>
      </x:c>
    </x:row>
    <x:row r="147" ht="40" customHeight="1">
      <x:c r="A147" s="22" t="str">
        <x:v>Enterrement</x:v>
      </x:c>
      <x:c r="B147" s="22" t="str">
        <x:v>funeral</x:v>
      </x:c>
      <x:c r="C147" s="26" t="n">
        <x:v>137</x:v>
      </x:c>
      <x:c r="D147" s="24" t="str">
        <x:v>Lot 10</x:v>
      </x:c>
      <x:c r="E147" s="25" t="str">
        <x:v>Actions</x:v>
      </x:c>
      <x:c r="F147" s="24" t="str">
        <x:f>IF(AND(G147=8,COUNTIF(Q147:V147,"Atlas")=6),"Intégré","À faire")</x:f>
        <x:v>Intégré</x:v>
      </x:c>
      <x:c r="G147" s="27" t="n">
        <x:f>COUNTIF(I147:P147,"Présent")</x:f>
        <x:v>8</x:v>
      </x:c>
      <x:c r="H147" s="24" t="str">
        <x:v>Archivé Drive</x:v>
      </x:c>
      <x:c r="I147" s="24" t="str">
        <x:v>Présent</x:v>
      </x:c>
      <x:c r="J147" s="24" t="str">
        <x:v>Présent</x:v>
      </x:c>
      <x:c r="K147" s="24" t="str">
        <x:v>Présent</x:v>
      </x:c>
      <x:c r="L147" s="24" t="str">
        <x:v>Présent</x:v>
      </x:c>
      <x:c r="M147" s="24" t="str">
        <x:v>Présent</x:v>
      </x:c>
      <x:c r="N147" s="24" t="str">
        <x:v>Présent</x:v>
      </x:c>
      <x:c r="O147" s="24" t="str">
        <x:v>Présent</x:v>
      </x:c>
      <x:c r="P147" s="24" t="str">
        <x:v>Présent</x:v>
      </x:c>
      <x:c r="Q147" s="24" t="str">
        <x:v>Atlas</x:v>
      </x:c>
      <x:c r="R147" s="24" t="str">
        <x:v>Atlas</x:v>
      </x:c>
      <x:c r="S147" s="24" t="str">
        <x:v>Atlas</x:v>
      </x:c>
      <x:c r="T147" s="24" t="str">
        <x:v>Atlas</x:v>
      </x:c>
      <x:c r="U147" s="24" t="str">
        <x:v>Atlas</x:v>
      </x:c>
      <x:c r="V147" s="24" t="str">
        <x:v>Atlas</x:v>
      </x:c>
      <x:c r="W147" s="24" t="str">
        <x:v>6/6 actuelles</x:v>
      </x:c>
      <x:c r="X147" s="24" t="str">
        <x:v>6/6 actuelles</x:v>
      </x:c>
      <x:c r="Y147" s="24" t="str">
        <x:v>Non consignée</x:v>
      </x:c>
      <x:c r="Z147" s="24" t="str">
        <x:v>Périmée (0/6)</x:v>
      </x:c>
      <x:c r="AA147" s="23" t="str">
        <x:v>Validation navigateur passée. Publication exacte en attente de Thanh.</x:v>
      </x:c>
      <x:c r="AB147" s="21" t="str">
        <x:v>674f752f62b3179c8a21300c7796024f5935efc1</x:v>
      </x:c>
      <x:c r="AC147" s="21" t="str">
        <x:v>En cours</x:v>
      </x:c>
    </x:row>
    <x:row r="148" ht="40" customHeight="1">
      <x:c r="A148" s="22" t="str">
        <x:v>Être attaqué / Agression</x:v>
      </x:c>
      <x:c r="B148" s="22" t="str">
        <x:v>attack</x:v>
      </x:c>
      <x:c r="C148" s="26" t="n">
        <x:v>138</x:v>
      </x:c>
      <x:c r="D148" s="24" t="str">
        <x:v>Lot 13</x:v>
      </x:c>
      <x:c r="E148" s="25" t="str">
        <x:v>Actions</x:v>
      </x:c>
      <x:c r="F148" s="24" t="str">
        <x:f>IF(AND(G148=8,COUNTIF(Q148:V148,"Atlas")=6),"Intégré","À faire")</x:f>
        <x:v>Intégré</x:v>
      </x:c>
      <x:c r="G148" s="27" t="n">
        <x:f>COUNTIF(I148:P148,"Présent")</x:f>
        <x:v>8</x:v>
      </x:c>
      <x:c r="H148" s="24" t="str">
        <x:v>Archivé Drive</x:v>
      </x:c>
      <x:c r="I148" s="24" t="str">
        <x:v>Présent</x:v>
      </x:c>
      <x:c r="J148" s="24" t="str">
        <x:v>Présent</x:v>
      </x:c>
      <x:c r="K148" s="24" t="str">
        <x:v>Présent</x:v>
      </x:c>
      <x:c r="L148" s="24" t="str">
        <x:v>Présent</x:v>
      </x:c>
      <x:c r="M148" s="24" t="str">
        <x:v>Présent</x:v>
      </x:c>
      <x:c r="N148" s="24" t="str">
        <x:v>Présent</x:v>
      </x:c>
      <x:c r="O148" s="24" t="str">
        <x:v>Présent</x:v>
      </x:c>
      <x:c r="P148" s="24" t="str">
        <x:v>Présent</x:v>
      </x:c>
      <x:c r="Q148" s="24" t="str">
        <x:v>Atlas</x:v>
      </x:c>
      <x:c r="R148" s="24" t="str">
        <x:v>Atlas</x:v>
      </x:c>
      <x:c r="S148" s="24" t="str">
        <x:v>Atlas</x:v>
      </x:c>
      <x:c r="T148" s="24" t="str">
        <x:v>Atlas</x:v>
      </x:c>
      <x:c r="U148" s="24" t="str">
        <x:v>Atlas</x:v>
      </x:c>
      <x:c r="V148" s="24" t="str">
        <x:v>Atlas</x:v>
      </x:c>
      <x:c r="W148" s="24" t="str">
        <x:v>6/6 actuelles</x:v>
      </x:c>
      <x:c r="X148" s="24" t="str">
        <x:v>6/6 actuelles</x:v>
      </x:c>
      <x:c r="Y148" s="24" t="str">
        <x:v>Non consignée</x:v>
      </x:c>
      <x:c r="Z148" s="24" t="str">
        <x:v>Périmée (0/6)</x:v>
      </x:c>
      <x:c r="AA148" s="23" t="str">
        <x:v>Validation navigateur passée. Publication exacte en attente de Thanh.</x:v>
      </x:c>
      <x:c r="AB148" s="21" t="str">
        <x:v>674f752f62b3179c8a21300c7796024f5935efc1</x:v>
      </x:c>
      <x:c r="AC148" s="21" t="str">
        <x:v>En cours</x:v>
      </x:c>
    </x:row>
    <x:row r="149" ht="40" customHeight="1">
      <x:c r="A149" s="22" t="str">
        <x:v>Être en retard</x:v>
      </x:c>
      <x:c r="B149" s="22" t="str">
        <x:v>late</x:v>
      </x:c>
      <x:c r="C149" s="26" t="n">
        <x:v>139</x:v>
      </x:c>
      <x:c r="D149" s="24" t="str">
        <x:v>Lot 11</x:v>
      </x:c>
      <x:c r="E149" s="25" t="str">
        <x:v>Actions</x:v>
      </x:c>
      <x:c r="F149" s="24" t="str">
        <x:f>IF(AND(G149=8,COUNTIF(Q149:V149,"Atlas")=6),"Intégré","À faire")</x:f>
        <x:v>Intégré</x:v>
      </x:c>
      <x:c r="G149" s="27" t="n">
        <x:f>COUNTIF(I149:P149,"Présent")</x:f>
        <x:v>8</x:v>
      </x:c>
      <x:c r="H149" s="24" t="str">
        <x:v>Archivé Drive</x:v>
      </x:c>
      <x:c r="I149" s="24" t="str">
        <x:v>Présent</x:v>
      </x:c>
      <x:c r="J149" s="24" t="str">
        <x:v>Présent</x:v>
      </x:c>
      <x:c r="K149" s="24" t="str">
        <x:v>Présent</x:v>
      </x:c>
      <x:c r="L149" s="24" t="str">
        <x:v>Présent</x:v>
      </x:c>
      <x:c r="M149" s="24" t="str">
        <x:v>Présent</x:v>
      </x:c>
      <x:c r="N149" s="24" t="str">
        <x:v>Présent</x:v>
      </x:c>
      <x:c r="O149" s="24" t="str">
        <x:v>Présent</x:v>
      </x:c>
      <x:c r="P149" s="24" t="str">
        <x:v>Présent</x:v>
      </x:c>
      <x:c r="Q149" s="24" t="str">
        <x:v>Atlas</x:v>
      </x:c>
      <x:c r="R149" s="24" t="str">
        <x:v>Atlas</x:v>
      </x:c>
      <x:c r="S149" s="24" t="str">
        <x:v>Atlas</x:v>
      </x:c>
      <x:c r="T149" s="24" t="str">
        <x:v>Atlas</x:v>
      </x:c>
      <x:c r="U149" s="24" t="str">
        <x:v>Atlas</x:v>
      </x:c>
      <x:c r="V149" s="24" t="str">
        <x:v>Atlas</x:v>
      </x:c>
      <x:c r="W149" s="24" t="str">
        <x:v>6/6 actuelles</x:v>
      </x:c>
      <x:c r="X149" s="24" t="str">
        <x:v>6/6 actuelles</x:v>
      </x:c>
      <x:c r="Y149" s="24" t="str">
        <x:v>Non consignée</x:v>
      </x:c>
      <x:c r="Z149" s="24" t="str">
        <x:v>Périmée (0/6)</x:v>
      </x:c>
      <x:c r="AA149" s="23" t="str">
        <x:v>Validation navigateur passée. Publication exacte en attente de Thanh.</x:v>
      </x:c>
      <x:c r="AB149" s="21" t="str">
        <x:v>674f752f62b3179c8a21300c7796024f5935efc1</x:v>
      </x:c>
      <x:c r="AC149" s="21" t="str">
        <x:v>En cours</x:v>
      </x:c>
    </x:row>
    <x:row r="150" ht="40" customHeight="1">
      <x:c r="A150" s="22" t="str">
        <x:v>Être Perdu</x:v>
      </x:c>
      <x:c r="B150" s="22" t="str">
        <x:v>lost</x:v>
      </x:c>
      <x:c r="C150" s="26" t="n">
        <x:v>140</x:v>
      </x:c>
      <x:c r="D150" s="24" t="str">
        <x:v>Lot 08</x:v>
      </x:c>
      <x:c r="E150" s="25" t="str">
        <x:v>Actions</x:v>
      </x:c>
      <x:c r="F150" s="24" t="str">
        <x:f>IF(AND(G150=8,COUNTIF(Q150:V150,"Atlas")=6),"Intégré","À faire")</x:f>
        <x:v>Intégré</x:v>
      </x:c>
      <x:c r="G150" s="27" t="n">
        <x:f>COUNTIF(I150:P150,"Présent")</x:f>
        <x:v>8</x:v>
      </x:c>
      <x:c r="H150" s="24" t="str">
        <x:v>Archivé Drive</x:v>
      </x:c>
      <x:c r="I150" s="24" t="str">
        <x:v>Présent</x:v>
      </x:c>
      <x:c r="J150" s="24" t="str">
        <x:v>Présent</x:v>
      </x:c>
      <x:c r="K150" s="24" t="str">
        <x:v>Présent</x:v>
      </x:c>
      <x:c r="L150" s="24" t="str">
        <x:v>Présent</x:v>
      </x:c>
      <x:c r="M150" s="24" t="str">
        <x:v>Présent</x:v>
      </x:c>
      <x:c r="N150" s="24" t="str">
        <x:v>Présent</x:v>
      </x:c>
      <x:c r="O150" s="24" t="str">
        <x:v>Présent</x:v>
      </x:c>
      <x:c r="P150" s="24" t="str">
        <x:v>Présent</x:v>
      </x:c>
      <x:c r="Q150" s="24" t="str">
        <x:v>Atlas</x:v>
      </x:c>
      <x:c r="R150" s="24" t="str">
        <x:v>Atlas</x:v>
      </x:c>
      <x:c r="S150" s="24" t="str">
        <x:v>Atlas</x:v>
      </x:c>
      <x:c r="T150" s="24" t="str">
        <x:v>Atlas</x:v>
      </x:c>
      <x:c r="U150" s="24" t="str">
        <x:v>Atlas</x:v>
      </x:c>
      <x:c r="V150" s="24" t="str">
        <x:v>Atlas</x:v>
      </x:c>
      <x:c r="W150" s="24" t="str">
        <x:v>6/6 actuelles</x:v>
      </x:c>
      <x:c r="X150" s="24" t="str">
        <x:v>6/6 actuelles</x:v>
      </x:c>
      <x:c r="Y150" s="24" t="str">
        <x:v>Non consignée</x:v>
      </x:c>
      <x:c r="Z150" s="24" t="str">
        <x:v>Périmée (0/6)</x:v>
      </x:c>
      <x:c r="AA150" s="23" t="str">
        <x:v>Validation navigateur passée. Publication exacte en attente de Thanh.</x:v>
      </x:c>
      <x:c r="AB150" s="21" t="str">
        <x:v>674f752f62b3179c8a21300c7796024f5935efc1</x:v>
      </x:c>
      <x:c r="AC150" s="21" t="str">
        <x:v>En cours</x:v>
      </x:c>
    </x:row>
    <x:row r="151" ht="40" customHeight="1">
      <x:c r="A151" s="22" t="str">
        <x:v>Ex-Partenaire</x:v>
      </x:c>
      <x:c r="B151" s="22" t="str">
        <x:v>ex-partner</x:v>
      </x:c>
      <x:c r="C151" s="26" t="n">
        <x:v>141</x:v>
      </x:c>
      <x:c r="D151" s="24" t="str">
        <x:v>Lot 08</x:v>
      </x:c>
      <x:c r="E151" s="25" t="str">
        <x:v>Personnes</x:v>
      </x:c>
      <x:c r="F151" s="24" t="str">
        <x:f>IF(AND(G151=8,COUNTIF(Q151:V151,"Atlas")=6),"Intégré","À faire")</x:f>
        <x:v>Intégré</x:v>
      </x:c>
      <x:c r="G151" s="27" t="n">
        <x:f>COUNTIF(I151:P151,"Présent")</x:f>
        <x:v>8</x:v>
      </x:c>
      <x:c r="H151" s="24" t="str">
        <x:v>Archivé Drive</x:v>
      </x:c>
      <x:c r="I151" s="24" t="str">
        <x:v>Présent</x:v>
      </x:c>
      <x:c r="J151" s="24" t="str">
        <x:v>Présent</x:v>
      </x:c>
      <x:c r="K151" s="24" t="str">
        <x:v>Présent</x:v>
      </x:c>
      <x:c r="L151" s="24" t="str">
        <x:v>Présent</x:v>
      </x:c>
      <x:c r="M151" s="24" t="str">
        <x:v>Présent</x:v>
      </x:c>
      <x:c r="N151" s="24" t="str">
        <x:v>Présent</x:v>
      </x:c>
      <x:c r="O151" s="24" t="str">
        <x:v>Présent</x:v>
      </x:c>
      <x:c r="P151" s="24" t="str">
        <x:v>Présent</x:v>
      </x:c>
      <x:c r="Q151" s="24" t="str">
        <x:v>Atlas</x:v>
      </x:c>
      <x:c r="R151" s="24" t="str">
        <x:v>Atlas</x:v>
      </x:c>
      <x:c r="S151" s="24" t="str">
        <x:v>Atlas</x:v>
      </x:c>
      <x:c r="T151" s="24" t="str">
        <x:v>Atlas</x:v>
      </x:c>
      <x:c r="U151" s="24" t="str">
        <x:v>Atlas</x:v>
      </x:c>
      <x:c r="V151" s="24" t="str">
        <x:v>Atlas</x:v>
      </x:c>
      <x:c r="W151" s="24" t="str">
        <x:v>6/6 actuelles</x:v>
      </x:c>
      <x:c r="X151" s="24" t="str">
        <x:v>6/6 actuelles</x:v>
      </x:c>
      <x:c r="Y151" s="24" t="str">
        <x:v>Non consignée</x:v>
      </x:c>
      <x:c r="Z151" s="24" t="str">
        <x:v>Périmée (0/6)</x:v>
      </x:c>
      <x:c r="AA151" s="23" t="str">
        <x:v>Validation navigateur passée. Publication exacte en attente de Thanh.</x:v>
      </x:c>
      <x:c r="AB151" s="21" t="str">
        <x:v>674f752f62b3179c8a21300c7796024f5935efc1</x:v>
      </x:c>
      <x:c r="AC151" s="21" t="str">
        <x:v>En cours</x:v>
      </x:c>
    </x:row>
    <x:row r="152" ht="40" customHeight="1">
      <x:c r="A152" s="22" t="str">
        <x:v>Examen / Test</x:v>
      </x:c>
      <x:c r="B152" s="22" t="str">
        <x:v>exam</x:v>
      </x:c>
      <x:c r="C152" s="26" t="n">
        <x:v>142</x:v>
      </x:c>
      <x:c r="D152" s="24" t="str">
        <x:v>Lot 08</x:v>
      </x:c>
      <x:c r="E152" s="25" t="str">
        <x:v>Actions</x:v>
      </x:c>
      <x:c r="F152" s="24" t="str">
        <x:f>IF(AND(G152=8,COUNTIF(Q152:V152,"Atlas")=6),"Intégré","À faire")</x:f>
        <x:v>Intégré</x:v>
      </x:c>
      <x:c r="G152" s="27" t="n">
        <x:f>COUNTIF(I152:P152,"Présent")</x:f>
        <x:v>8</x:v>
      </x:c>
      <x:c r="H152" s="24" t="str">
        <x:v>Archivé Drive</x:v>
      </x:c>
      <x:c r="I152" s="24" t="str">
        <x:v>Présent</x:v>
      </x:c>
      <x:c r="J152" s="24" t="str">
        <x:v>Présent</x:v>
      </x:c>
      <x:c r="K152" s="24" t="str">
        <x:v>Présent</x:v>
      </x:c>
      <x:c r="L152" s="24" t="str">
        <x:v>Présent</x:v>
      </x:c>
      <x:c r="M152" s="24" t="str">
        <x:v>Présent</x:v>
      </x:c>
      <x:c r="N152" s="24" t="str">
        <x:v>Présent</x:v>
      </x:c>
      <x:c r="O152" s="24" t="str">
        <x:v>Présent</x:v>
      </x:c>
      <x:c r="P152" s="24" t="str">
        <x:v>Présent</x:v>
      </x:c>
      <x:c r="Q152" s="24" t="str">
        <x:v>Atlas</x:v>
      </x:c>
      <x:c r="R152" s="24" t="str">
        <x:v>Atlas</x:v>
      </x:c>
      <x:c r="S152" s="24" t="str">
        <x:v>Atlas</x:v>
      </x:c>
      <x:c r="T152" s="24" t="str">
        <x:v>Atlas</x:v>
      </x:c>
      <x:c r="U152" s="24" t="str">
        <x:v>Atlas</x:v>
      </x:c>
      <x:c r="V152" s="24" t="str">
        <x:v>Atlas</x:v>
      </x:c>
      <x:c r="W152" s="24" t="str">
        <x:v>6/6 actuelles</x:v>
      </x:c>
      <x:c r="X152" s="24" t="str">
        <x:v>6/6 actuelles</x:v>
      </x:c>
      <x:c r="Y152" s="24" t="str">
        <x:v>Non consignée</x:v>
      </x:c>
      <x:c r="Z152" s="24" t="str">
        <x:v>Périmée (0/6)</x:v>
      </x:c>
      <x:c r="AA152" s="23" t="str">
        <x:v>Validation navigateur passée. Publication exacte en attente de Thanh.</x:v>
      </x:c>
      <x:c r="AB152" s="21" t="str">
        <x:v>674f752f62b3179c8a21300c7796024f5935efc1</x:v>
      </x:c>
      <x:c r="AC152" s="21" t="str">
        <x:v>En cours</x:v>
      </x:c>
    </x:row>
    <x:row r="153" ht="40" customHeight="1">
      <x:c r="A153" s="22" t="str">
        <x:v>Extraterrestre</x:v>
      </x:c>
      <x:c r="B153" s="22" t="str">
        <x:v>alien</x:v>
      </x:c>
      <x:c r="C153" s="26" t="n">
        <x:v>143</x:v>
      </x:c>
      <x:c r="D153" s="24" t="str">
        <x:v>Lot 13</x:v>
      </x:c>
      <x:c r="E153" s="25" t="str">
        <x:v>Personnes</x:v>
      </x:c>
      <x:c r="F153" s="24" t="str">
        <x:f>IF(AND(G153=8,COUNTIF(Q153:V153,"Atlas")=6),"Intégré","À faire")</x:f>
        <x:v>Intégré</x:v>
      </x:c>
      <x:c r="G153" s="27" t="n">
        <x:f>COUNTIF(I153:P153,"Présent")</x:f>
        <x:v>8</x:v>
      </x:c>
      <x:c r="H153" s="24" t="str">
        <x:v>Archivé Drive</x:v>
      </x:c>
      <x:c r="I153" s="24" t="str">
        <x:v>Présent</x:v>
      </x:c>
      <x:c r="J153" s="24" t="str">
        <x:v>Présent</x:v>
      </x:c>
      <x:c r="K153" s="24" t="str">
        <x:v>Présent</x:v>
      </x:c>
      <x:c r="L153" s="24" t="str">
        <x:v>Présent</x:v>
      </x:c>
      <x:c r="M153" s="24" t="str">
        <x:v>Présent</x:v>
      </x:c>
      <x:c r="N153" s="24" t="str">
        <x:v>Présent</x:v>
      </x:c>
      <x:c r="O153" s="24" t="str">
        <x:v>Présent</x:v>
      </x:c>
      <x:c r="P153" s="24" t="str">
        <x:v>Présent</x:v>
      </x:c>
      <x:c r="Q153" s="24" t="str">
        <x:v>Atlas</x:v>
      </x:c>
      <x:c r="R153" s="24" t="str">
        <x:v>Atlas</x:v>
      </x:c>
      <x:c r="S153" s="24" t="str">
        <x:v>Atlas</x:v>
      </x:c>
      <x:c r="T153" s="24" t="str">
        <x:v>Atlas</x:v>
      </x:c>
      <x:c r="U153" s="24" t="str">
        <x:v>Atlas</x:v>
      </x:c>
      <x:c r="V153" s="24" t="str">
        <x:v>Atlas</x:v>
      </x:c>
      <x:c r="W153" s="24" t="str">
        <x:v>6/6 actuelles</x:v>
      </x:c>
      <x:c r="X153" s="24" t="str">
        <x:v>6/6 actuelles</x:v>
      </x:c>
      <x:c r="Y153" s="24" t="str">
        <x:v>Non consignée</x:v>
      </x:c>
      <x:c r="Z153" s="24" t="str">
        <x:v>Périmée (0/6)</x:v>
      </x:c>
      <x:c r="AA153" s="23" t="str">
        <x:v>Validation navigateur passée. Publication exacte en attente de Thanh.</x:v>
      </x:c>
      <x:c r="AB153" s="21" t="str">
        <x:v>674f752f62b3179c8a21300c7796024f5935efc1</x:v>
      </x:c>
      <x:c r="AC153" s="21" t="str">
        <x:v>En cours</x:v>
      </x:c>
    </x:row>
    <x:row r="154" ht="40" customHeight="1">
      <x:c r="A154" s="22" t="str">
        <x:v>Falaise</x:v>
      </x:c>
      <x:c r="B154" s="22" t="str">
        <x:v>cliff</x:v>
      </x:c>
      <x:c r="C154" s="26" t="n">
        <x:v>144</x:v>
      </x:c>
      <x:c r="D154" s="24" t="str">
        <x:v>Lot 08</x:v>
      </x:c>
      <x:c r="E154" s="25" t="str">
        <x:v>Lieux</x:v>
      </x:c>
      <x:c r="F154" s="24" t="str">
        <x:f>IF(AND(G154=8,COUNTIF(Q154:V154,"Atlas")=6),"Intégré","À faire")</x:f>
        <x:v>Intégré</x:v>
      </x:c>
      <x:c r="G154" s="27" t="n">
        <x:f>COUNTIF(I154:P154,"Présent")</x:f>
        <x:v>8</x:v>
      </x:c>
      <x:c r="H154" s="24" t="str">
        <x:v>Archivé Drive</x:v>
      </x:c>
      <x:c r="I154" s="24" t="str">
        <x:v>Présent</x:v>
      </x:c>
      <x:c r="J154" s="24" t="str">
        <x:v>Présent</x:v>
      </x:c>
      <x:c r="K154" s="24" t="str">
        <x:v>Présent</x:v>
      </x:c>
      <x:c r="L154" s="24" t="str">
        <x:v>Présent</x:v>
      </x:c>
      <x:c r="M154" s="24" t="str">
        <x:v>Présent</x:v>
      </x:c>
      <x:c r="N154" s="24" t="str">
        <x:v>Présent</x:v>
      </x:c>
      <x:c r="O154" s="24" t="str">
        <x:v>Présent</x:v>
      </x:c>
      <x:c r="P154" s="24" t="str">
        <x:v>Présent</x:v>
      </x:c>
      <x:c r="Q154" s="24" t="str">
        <x:v>Atlas</x:v>
      </x:c>
      <x:c r="R154" s="24" t="str">
        <x:v>Atlas</x:v>
      </x:c>
      <x:c r="S154" s="24" t="str">
        <x:v>Atlas</x:v>
      </x:c>
      <x:c r="T154" s="24" t="str">
        <x:v>Atlas</x:v>
      </x:c>
      <x:c r="U154" s="24" t="str">
        <x:v>Atlas</x:v>
      </x:c>
      <x:c r="V154" s="24" t="str">
        <x:v>Atlas</x:v>
      </x:c>
      <x:c r="W154" s="24" t="str">
        <x:v>6/6 actuelles</x:v>
      </x:c>
      <x:c r="X154" s="24" t="str">
        <x:v>6/6 actuelles</x:v>
      </x:c>
      <x:c r="Y154" s="24" t="str">
        <x:v>Non consignée</x:v>
      </x:c>
      <x:c r="Z154" s="24" t="str">
        <x:v>Périmée (0/6)</x:v>
      </x:c>
      <x:c r="AA154" s="23" t="str">
        <x:v>Validation navigateur passée. Publication exacte en attente de Thanh.</x:v>
      </x:c>
      <x:c r="AB154" s="21" t="str">
        <x:v>674f752f62b3179c8a21300c7796024f5935efc1</x:v>
      </x:c>
      <x:c r="AC154" s="21" t="str">
        <x:v>En cours</x:v>
      </x:c>
    </x:row>
    <x:row r="155" ht="40" customHeight="1">
      <x:c r="A155" s="22" t="str">
        <x:v>Fantôme</x:v>
      </x:c>
      <x:c r="B155" s="22" t="str">
        <x:v>ghost</x:v>
      </x:c>
      <x:c r="C155" s="26" t="n">
        <x:v>145</x:v>
      </x:c>
      <x:c r="D155" s="24" t="str">
        <x:v>Lot 11</x:v>
      </x:c>
      <x:c r="E155" s="25" t="str">
        <x:v>Personnes</x:v>
      </x:c>
      <x:c r="F155" s="24" t="str">
        <x:f>IF(AND(G155=8,COUNTIF(Q155:V155,"Atlas")=6),"Intégré","À faire")</x:f>
        <x:v>Intégré</x:v>
      </x:c>
      <x:c r="G155" s="27" t="n">
        <x:f>COUNTIF(I155:P155,"Présent")</x:f>
        <x:v>8</x:v>
      </x:c>
      <x:c r="H155" s="24" t="str">
        <x:v>Archivé Drive</x:v>
      </x:c>
      <x:c r="I155" s="24" t="str">
        <x:v>Présent</x:v>
      </x:c>
      <x:c r="J155" s="24" t="str">
        <x:v>Présent</x:v>
      </x:c>
      <x:c r="K155" s="24" t="str">
        <x:v>Présent</x:v>
      </x:c>
      <x:c r="L155" s="24" t="str">
        <x:v>Présent</x:v>
      </x:c>
      <x:c r="M155" s="24" t="str">
        <x:v>Présent</x:v>
      </x:c>
      <x:c r="N155" s="24" t="str">
        <x:v>Présent</x:v>
      </x:c>
      <x:c r="O155" s="24" t="str">
        <x:v>Présent</x:v>
      </x:c>
      <x:c r="P155" s="24" t="str">
        <x:v>Présent</x:v>
      </x:c>
      <x:c r="Q155" s="24" t="str">
        <x:v>Atlas</x:v>
      </x:c>
      <x:c r="R155" s="24" t="str">
        <x:v>Atlas</x:v>
      </x:c>
      <x:c r="S155" s="24" t="str">
        <x:v>Atlas</x:v>
      </x:c>
      <x:c r="T155" s="24" t="str">
        <x:v>Atlas</x:v>
      </x:c>
      <x:c r="U155" s="24" t="str">
        <x:v>Atlas</x:v>
      </x:c>
      <x:c r="V155" s="24" t="str">
        <x:v>Atlas</x:v>
      </x:c>
      <x:c r="W155" s="24" t="str">
        <x:v>6/6 actuelles</x:v>
      </x:c>
      <x:c r="X155" s="24" t="str">
        <x:v>6/6 actuelles</x:v>
      </x:c>
      <x:c r="Y155" s="24" t="str">
        <x:v>Non consignée</x:v>
      </x:c>
      <x:c r="Z155" s="24" t="str">
        <x:v>Périmée (0/6)</x:v>
      </x:c>
      <x:c r="AA155" s="23" t="str">
        <x:v>Validation navigateur passée. Publication exacte en attente de Thanh.</x:v>
      </x:c>
      <x:c r="AB155" s="21" t="str">
        <x:v>674f752f62b3179c8a21300c7796024f5935efc1</x:v>
      </x:c>
      <x:c r="AC155" s="21" t="str">
        <x:v>En cours</x:v>
      </x:c>
    </x:row>
    <x:row r="156" ht="40" customHeight="1">
      <x:c r="A156" s="22" t="str">
        <x:v>Fourmi</x:v>
      </x:c>
      <x:c r="B156" s="22" t="str">
        <x:v>ant</x:v>
      </x:c>
      <x:c r="C156" s="26" t="n">
        <x:v>146</x:v>
      </x:c>
      <x:c r="D156" s="24" t="str">
        <x:v>Lot 12</x:v>
      </x:c>
      <x:c r="E156" s="25" t="str">
        <x:v>Animaux</x:v>
      </x:c>
      <x:c r="F156" s="24" t="str">
        <x:f>IF(AND(G156=8,COUNTIF(Q156:V156,"Atlas")=6),"Intégré","À faire")</x:f>
        <x:v>Intégré</x:v>
      </x:c>
      <x:c r="G156" s="27" t="n">
        <x:f>COUNTIF(I156:P156,"Présent")</x:f>
        <x:v>8</x:v>
      </x:c>
      <x:c r="H156" s="24" t="str">
        <x:v>Archivé Drive</x:v>
      </x:c>
      <x:c r="I156" s="24" t="str">
        <x:v>Présent</x:v>
      </x:c>
      <x:c r="J156" s="24" t="str">
        <x:v>Présent</x:v>
      </x:c>
      <x:c r="K156" s="24" t="str">
        <x:v>Présent</x:v>
      </x:c>
      <x:c r="L156" s="24" t="str">
        <x:v>Présent</x:v>
      </x:c>
      <x:c r="M156" s="24" t="str">
        <x:v>Présent</x:v>
      </x:c>
      <x:c r="N156" s="24" t="str">
        <x:v>Présent</x:v>
      </x:c>
      <x:c r="O156" s="24" t="str">
        <x:v>Présent</x:v>
      </x:c>
      <x:c r="P156" s="24" t="str">
        <x:v>Présent</x:v>
      </x:c>
      <x:c r="Q156" s="24" t="str">
        <x:v>Atlas</x:v>
      </x:c>
      <x:c r="R156" s="24" t="str">
        <x:v>Atlas</x:v>
      </x:c>
      <x:c r="S156" s="24" t="str">
        <x:v>Atlas</x:v>
      </x:c>
      <x:c r="T156" s="24" t="str">
        <x:v>Atlas</x:v>
      </x:c>
      <x:c r="U156" s="24" t="str">
        <x:v>Atlas</x:v>
      </x:c>
      <x:c r="V156" s="24" t="str">
        <x:v>Atlas</x:v>
      </x:c>
      <x:c r="W156" s="24" t="str">
        <x:v>6/6 actuelles</x:v>
      </x:c>
      <x:c r="X156" s="24" t="str">
        <x:v>6/6 actuelles</x:v>
      </x:c>
      <x:c r="Y156" s="24" t="str">
        <x:v>Non consignée</x:v>
      </x:c>
      <x:c r="Z156" s="24" t="str">
        <x:v>Périmée (0/6)</x:v>
      </x:c>
      <x:c r="AA156" s="23" t="str">
        <x:v>Validation navigateur passée. Publication exacte en attente de Thanh.</x:v>
      </x:c>
      <x:c r="AB156" s="21" t="str">
        <x:v>674f752f62b3179c8a21300c7796024f5935efc1</x:v>
      </x:c>
      <x:c r="AC156" s="21" t="str">
        <x:v>En cours</x:v>
      </x:c>
    </x:row>
    <x:row r="157" ht="40" customHeight="1">
      <x:c r="A157" s="22" t="str">
        <x:v>Frère ou sœur</x:v>
      </x:c>
      <x:c r="B157" s="22" t="str">
        <x:v>sibling</x:v>
      </x:c>
      <x:c r="C157" s="26" t="n">
        <x:v>147</x:v>
      </x:c>
      <x:c r="D157" s="24" t="str">
        <x:v>Lot 10</x:v>
      </x:c>
      <x:c r="E157" s="25" t="str">
        <x:v>Personnes</x:v>
      </x:c>
      <x:c r="F157" s="24" t="str">
        <x:f>IF(AND(G157=8,COUNTIF(Q157:V157,"Atlas")=6),"Intégré","À faire")</x:f>
        <x:v>Intégré</x:v>
      </x:c>
      <x:c r="G157" s="27" t="n">
        <x:f>COUNTIF(I157:P157,"Présent")</x:f>
        <x:v>8</x:v>
      </x:c>
      <x:c r="H157" s="24" t="str">
        <x:v>Archivé Drive</x:v>
      </x:c>
      <x:c r="I157" s="24" t="str">
        <x:v>Présent</x:v>
      </x:c>
      <x:c r="J157" s="24" t="str">
        <x:v>Présent</x:v>
      </x:c>
      <x:c r="K157" s="24" t="str">
        <x:v>Présent</x:v>
      </x:c>
      <x:c r="L157" s="24" t="str">
        <x:v>Présent</x:v>
      </x:c>
      <x:c r="M157" s="24" t="str">
        <x:v>Présent</x:v>
      </x:c>
      <x:c r="N157" s="24" t="str">
        <x:v>Présent</x:v>
      </x:c>
      <x:c r="O157" s="24" t="str">
        <x:v>Présent</x:v>
      </x:c>
      <x:c r="P157" s="24" t="str">
        <x:v>Présent</x:v>
      </x:c>
      <x:c r="Q157" s="24" t="str">
        <x:v>Atlas</x:v>
      </x:c>
      <x:c r="R157" s="24" t="str">
        <x:v>Atlas</x:v>
      </x:c>
      <x:c r="S157" s="24" t="str">
        <x:v>Atlas</x:v>
      </x:c>
      <x:c r="T157" s="24" t="str">
        <x:v>Atlas</x:v>
      </x:c>
      <x:c r="U157" s="24" t="str">
        <x:v>Atlas</x:v>
      </x:c>
      <x:c r="V157" s="24" t="str">
        <x:v>Atlas</x:v>
      </x:c>
      <x:c r="W157" s="24" t="str">
        <x:v>6/6 actuelles</x:v>
      </x:c>
      <x:c r="X157" s="24" t="str">
        <x:v>6/6 actuelles</x:v>
      </x:c>
      <x:c r="Y157" s="24" t="str">
        <x:v>Non consignée</x:v>
      </x:c>
      <x:c r="Z157" s="24" t="str">
        <x:v>Périmée (0/6)</x:v>
      </x:c>
      <x:c r="AA157" s="23" t="str">
        <x:v>Validation navigateur passée. Publication exacte en attente de Thanh.</x:v>
      </x:c>
      <x:c r="AB157" s="21" t="str">
        <x:v>674f752f62b3179c8a21300c7796024f5935efc1</x:v>
      </x:c>
      <x:c r="AC157" s="21" t="str">
        <x:v>En cours</x:v>
      </x:c>
    </x:row>
    <x:row r="158" ht="40" customHeight="1">
      <x:c r="A158" s="22" t="str">
        <x:v>Grand-mère</x:v>
      </x:c>
      <x:c r="B158" s="22" t="str">
        <x:v>grandmother</x:v>
      </x:c>
      <x:c r="C158" s="26" t="n">
        <x:v>148</x:v>
      </x:c>
      <x:c r="D158" s="24" t="str">
        <x:v>Lot 10</x:v>
      </x:c>
      <x:c r="E158" s="25" t="str">
        <x:v>Personnes</x:v>
      </x:c>
      <x:c r="F158" s="24" t="str">
        <x:f>IF(AND(G158=8,COUNTIF(Q158:V158,"Atlas")=6),"Intégré","À faire")</x:f>
        <x:v>Intégré</x:v>
      </x:c>
      <x:c r="G158" s="27" t="n">
        <x:f>COUNTIF(I158:P158,"Présent")</x:f>
        <x:v>8</x:v>
      </x:c>
      <x:c r="H158" s="24" t="str">
        <x:v>Archivé Drive</x:v>
      </x:c>
      <x:c r="I158" s="24" t="str">
        <x:v>Présent</x:v>
      </x:c>
      <x:c r="J158" s="24" t="str">
        <x:v>Présent</x:v>
      </x:c>
      <x:c r="K158" s="24" t="str">
        <x:v>Présent</x:v>
      </x:c>
      <x:c r="L158" s="24" t="str">
        <x:v>Présent</x:v>
      </x:c>
      <x:c r="M158" s="24" t="str">
        <x:v>Présent</x:v>
      </x:c>
      <x:c r="N158" s="24" t="str">
        <x:v>Présent</x:v>
      </x:c>
      <x:c r="O158" s="24" t="str">
        <x:v>Présent</x:v>
      </x:c>
      <x:c r="P158" s="24" t="str">
        <x:v>Présent</x:v>
      </x:c>
      <x:c r="Q158" s="24" t="str">
        <x:v>Atlas</x:v>
      </x:c>
      <x:c r="R158" s="24" t="str">
        <x:v>Atlas</x:v>
      </x:c>
      <x:c r="S158" s="24" t="str">
        <x:v>Atlas</x:v>
      </x:c>
      <x:c r="T158" s="24" t="str">
        <x:v>Atlas</x:v>
      </x:c>
      <x:c r="U158" s="24" t="str">
        <x:v>Atlas</x:v>
      </x:c>
      <x:c r="V158" s="24" t="str">
        <x:v>Atlas</x:v>
      </x:c>
      <x:c r="W158" s="24" t="str">
        <x:v>6/6 actuelles</x:v>
      </x:c>
      <x:c r="X158" s="24" t="str">
        <x:v>6/6 actuelles</x:v>
      </x:c>
      <x:c r="Y158" s="24" t="str">
        <x:v>Non consignée</x:v>
      </x:c>
      <x:c r="Z158" s="24" t="str">
        <x:v>Périmée (0/6)</x:v>
      </x:c>
      <x:c r="AA158" s="23" t="str">
        <x:v>Validation navigateur passée. Publication exacte en attente de Thanh.</x:v>
      </x:c>
      <x:c r="AB158" s="21" t="str">
        <x:v>674f752f62b3179c8a21300c7796024f5935efc1</x:v>
      </x:c>
      <x:c r="AC158" s="21" t="str">
        <x:v>En cours</x:v>
      </x:c>
    </x:row>
    <x:row r="159" ht="40" customHeight="1">
      <x:c r="A159" s="22" t="str">
        <x:v>Grand-père</x:v>
      </x:c>
      <x:c r="B159" s="22" t="str">
        <x:v>grandfather</x:v>
      </x:c>
      <x:c r="C159" s="26" t="n">
        <x:v>149</x:v>
      </x:c>
      <x:c r="D159" s="24" t="str">
        <x:v>Lot 10</x:v>
      </x:c>
      <x:c r="E159" s="25" t="str">
        <x:v>Personnes</x:v>
      </x:c>
      <x:c r="F159" s="24" t="str">
        <x:f>IF(AND(G159=8,COUNTIF(Q159:V159,"Atlas")=6),"Intégré","À faire")</x:f>
        <x:v>Intégré</x:v>
      </x:c>
      <x:c r="G159" s="27" t="n">
        <x:f>COUNTIF(I159:P159,"Présent")</x:f>
        <x:v>8</x:v>
      </x:c>
      <x:c r="H159" s="24" t="str">
        <x:v>Archivé Drive</x:v>
      </x:c>
      <x:c r="I159" s="24" t="str">
        <x:v>Présent</x:v>
      </x:c>
      <x:c r="J159" s="24" t="str">
        <x:v>Présent</x:v>
      </x:c>
      <x:c r="K159" s="24" t="str">
        <x:v>Présent</x:v>
      </x:c>
      <x:c r="L159" s="24" t="str">
        <x:v>Présent</x:v>
      </x:c>
      <x:c r="M159" s="24" t="str">
        <x:v>Présent</x:v>
      </x:c>
      <x:c r="N159" s="24" t="str">
        <x:v>Présent</x:v>
      </x:c>
      <x:c r="O159" s="24" t="str">
        <x:v>Présent</x:v>
      </x:c>
      <x:c r="P159" s="24" t="str">
        <x:v>Présent</x:v>
      </x:c>
      <x:c r="Q159" s="24" t="str">
        <x:v>Atlas</x:v>
      </x:c>
      <x:c r="R159" s="24" t="str">
        <x:v>Atlas</x:v>
      </x:c>
      <x:c r="S159" s="24" t="str">
        <x:v>Atlas</x:v>
      </x:c>
      <x:c r="T159" s="24" t="str">
        <x:v>Atlas</x:v>
      </x:c>
      <x:c r="U159" s="24" t="str">
        <x:v>Atlas</x:v>
      </x:c>
      <x:c r="V159" s="24" t="str">
        <x:v>Atlas</x:v>
      </x:c>
      <x:c r="W159" s="24" t="str">
        <x:v>6/6 actuelles</x:v>
      </x:c>
      <x:c r="X159" s="24" t="str">
        <x:v>6/6 actuelles</x:v>
      </x:c>
      <x:c r="Y159" s="24" t="str">
        <x:v>Non consignée</x:v>
      </x:c>
      <x:c r="Z159" s="24" t="str">
        <x:v>Périmée (0/6)</x:v>
      </x:c>
      <x:c r="AA159" s="23" t="str">
        <x:v>Validation navigateur passée. Publication exacte en attente de Thanh.</x:v>
      </x:c>
      <x:c r="AB159" s="21" t="str">
        <x:v>674f752f62b3179c8a21300c7796024f5935efc1</x:v>
      </x:c>
      <x:c r="AC159" s="21" t="str">
        <x:v>En cours</x:v>
      </x:c>
    </x:row>
    <x:row r="160" ht="40" customHeight="1">
      <x:c r="A160" s="22" t="str">
        <x:v>Grenier</x:v>
      </x:c>
      <x:c r="B160" s="22" t="str">
        <x:v>attic</x:v>
      </x:c>
      <x:c r="C160" s="26" t="n">
        <x:v>150</x:v>
      </x:c>
      <x:c r="D160" s="24" t="str">
        <x:v>Lot 11</x:v>
      </x:c>
      <x:c r="E160" s="25" t="str">
        <x:v>Lieux</x:v>
      </x:c>
      <x:c r="F160" s="24" t="str">
        <x:f>IF(AND(G160=8,COUNTIF(Q160:V160,"Atlas")=6),"Intégré","À faire")</x:f>
        <x:v>Intégré</x:v>
      </x:c>
      <x:c r="G160" s="27" t="n">
        <x:f>COUNTIF(I160:P160,"Présent")</x:f>
        <x:v>8</x:v>
      </x:c>
      <x:c r="H160" s="24" t="str">
        <x:v>Archivé Drive</x:v>
      </x:c>
      <x:c r="I160" s="24" t="str">
        <x:v>Présent</x:v>
      </x:c>
      <x:c r="J160" s="24" t="str">
        <x:v>Présent</x:v>
      </x:c>
      <x:c r="K160" s="24" t="str">
        <x:v>Présent</x:v>
      </x:c>
      <x:c r="L160" s="24" t="str">
        <x:v>Présent</x:v>
      </x:c>
      <x:c r="M160" s="24" t="str">
        <x:v>Présent</x:v>
      </x:c>
      <x:c r="N160" s="24" t="str">
        <x:v>Présent</x:v>
      </x:c>
      <x:c r="O160" s="24" t="str">
        <x:v>Présent</x:v>
      </x:c>
      <x:c r="P160" s="24" t="str">
        <x:v>Présent</x:v>
      </x:c>
      <x:c r="Q160" s="24" t="str">
        <x:v>Atlas</x:v>
      </x:c>
      <x:c r="R160" s="24" t="str">
        <x:v>Atlas</x:v>
      </x:c>
      <x:c r="S160" s="24" t="str">
        <x:v>Atlas</x:v>
      </x:c>
      <x:c r="T160" s="24" t="str">
        <x:v>Atlas</x:v>
      </x:c>
      <x:c r="U160" s="24" t="str">
        <x:v>Atlas</x:v>
      </x:c>
      <x:c r="V160" s="24" t="str">
        <x:v>Atlas</x:v>
      </x:c>
      <x:c r="W160" s="24" t="str">
        <x:v>6/6 actuelles</x:v>
      </x:c>
      <x:c r="X160" s="24" t="str">
        <x:v>6/6 actuelles</x:v>
      </x:c>
      <x:c r="Y160" s="24" t="str">
        <x:v>Non consignée</x:v>
      </x:c>
      <x:c r="Z160" s="24" t="str">
        <x:v>Périmée (0/6)</x:v>
      </x:c>
      <x:c r="AA160" s="23" t="str">
        <x:v>Validation navigateur passée. Publication exacte en attente de Thanh.</x:v>
      </x:c>
      <x:c r="AB160" s="21" t="str">
        <x:v>674f752f62b3179c8a21300c7796024f5935efc1</x:v>
      </x:c>
      <x:c r="AC160" s="21" t="str">
        <x:v>En cours</x:v>
      </x:c>
    </x:row>
    <x:row r="161" ht="40" customHeight="1">
      <x:c r="A161" s="22" t="str">
        <x:v>Grenouille</x:v>
      </x:c>
      <x:c r="B161" s="22" t="str">
        <x:v>frog</x:v>
      </x:c>
      <x:c r="C161" s="26" t="n">
        <x:v>151</x:v>
      </x:c>
      <x:c r="D161" s="24" t="str">
        <x:v>Lot 12</x:v>
      </x:c>
      <x:c r="E161" s="25" t="str">
        <x:v>Animaux</x:v>
      </x:c>
      <x:c r="F161" s="24" t="str">
        <x:f>IF(AND(G161=8,COUNTIF(Q161:V161,"Atlas")=6),"Intégré","À faire")</x:f>
        <x:v>Intégré</x:v>
      </x:c>
      <x:c r="G161" s="27" t="n">
        <x:f>COUNTIF(I161:P161,"Présent")</x:f>
        <x:v>8</x:v>
      </x:c>
      <x:c r="H161" s="24" t="str">
        <x:v>Archivé Drive</x:v>
      </x:c>
      <x:c r="I161" s="24" t="str">
        <x:v>Présent</x:v>
      </x:c>
      <x:c r="J161" s="24" t="str">
        <x:v>Présent</x:v>
      </x:c>
      <x:c r="K161" s="24" t="str">
        <x:v>Présent</x:v>
      </x:c>
      <x:c r="L161" s="24" t="str">
        <x:v>Présent</x:v>
      </x:c>
      <x:c r="M161" s="24" t="str">
        <x:v>Présent</x:v>
      </x:c>
      <x:c r="N161" s="24" t="str">
        <x:v>Présent</x:v>
      </x:c>
      <x:c r="O161" s="24" t="str">
        <x:v>Présent</x:v>
      </x:c>
      <x:c r="P161" s="24" t="str">
        <x:v>Présent</x:v>
      </x:c>
      <x:c r="Q161" s="24" t="str">
        <x:v>Atlas</x:v>
      </x:c>
      <x:c r="R161" s="24" t="str">
        <x:v>Atlas</x:v>
      </x:c>
      <x:c r="S161" s="24" t="str">
        <x:v>Atlas</x:v>
      </x:c>
      <x:c r="T161" s="24" t="str">
        <x:v>Atlas</x:v>
      </x:c>
      <x:c r="U161" s="24" t="str">
        <x:v>Atlas</x:v>
      </x:c>
      <x:c r="V161" s="24" t="str">
        <x:v>Atlas</x:v>
      </x:c>
      <x:c r="W161" s="24" t="str">
        <x:v>6/6 actuelles</x:v>
      </x:c>
      <x:c r="X161" s="24" t="str">
        <x:v>6/6 actuelles</x:v>
      </x:c>
      <x:c r="Y161" s="24" t="str">
        <x:v>Non consignée</x:v>
      </x:c>
      <x:c r="Z161" s="24" t="str">
        <x:v>Périmée (0/6)</x:v>
      </x:c>
      <x:c r="AA161" s="23" t="str">
        <x:v>Validation navigateur passée. Publication exacte en attente de Thanh.</x:v>
      </x:c>
      <x:c r="AB161" s="21" t="str">
        <x:v>674f752f62b3179c8a21300c7796024f5935efc1</x:v>
      </x:c>
      <x:c r="AC161" s="21" t="str">
        <x:v>En cours</x:v>
      </x:c>
    </x:row>
    <x:row r="162" ht="40" customHeight="1">
      <x:c r="A162" s="22" t="str">
        <x:v>Grossesse</x:v>
      </x:c>
      <x:c r="B162" s="22" t="str">
        <x:v>pregnancy</x:v>
      </x:c>
      <x:c r="C162" s="26" t="n">
        <x:v>152</x:v>
      </x:c>
      <x:c r="D162" s="24" t="str">
        <x:v>Lot 08</x:v>
      </x:c>
      <x:c r="E162" s="25" t="str">
        <x:v>Corps</x:v>
      </x:c>
      <x:c r="F162" s="24" t="str">
        <x:f>IF(AND(G162=8,COUNTIF(Q162:V162,"Atlas")=6),"Intégré","À faire")</x:f>
        <x:v>Intégré</x:v>
      </x:c>
      <x:c r="G162" s="27" t="n">
        <x:f>COUNTIF(I162:P162,"Présent")</x:f>
        <x:v>8</x:v>
      </x:c>
      <x:c r="H162" s="24" t="str">
        <x:v>Archivé Drive</x:v>
      </x:c>
      <x:c r="I162" s="24" t="str">
        <x:v>Présent</x:v>
      </x:c>
      <x:c r="J162" s="24" t="str">
        <x:v>Présent</x:v>
      </x:c>
      <x:c r="K162" s="24" t="str">
        <x:v>Présent</x:v>
      </x:c>
      <x:c r="L162" s="24" t="str">
        <x:v>Présent</x:v>
      </x:c>
      <x:c r="M162" s="24" t="str">
        <x:v>Présent</x:v>
      </x:c>
      <x:c r="N162" s="24" t="str">
        <x:v>Présent</x:v>
      </x:c>
      <x:c r="O162" s="24" t="str">
        <x:v>Présent</x:v>
      </x:c>
      <x:c r="P162" s="24" t="str">
        <x:v>Présent</x:v>
      </x:c>
      <x:c r="Q162" s="24" t="str">
        <x:v>Atlas</x:v>
      </x:c>
      <x:c r="R162" s="24" t="str">
        <x:v>Atlas</x:v>
      </x:c>
      <x:c r="S162" s="24" t="str">
        <x:v>Atlas</x:v>
      </x:c>
      <x:c r="T162" s="24" t="str">
        <x:v>Atlas</x:v>
      </x:c>
      <x:c r="U162" s="24" t="str">
        <x:v>Atlas</x:v>
      </x:c>
      <x:c r="V162" s="24" t="str">
        <x:v>Atlas</x:v>
      </x:c>
      <x:c r="W162" s="24" t="str">
        <x:v>6/6 actuelles</x:v>
      </x:c>
      <x:c r="X162" s="24" t="str">
        <x:v>6/6 actuelles</x:v>
      </x:c>
      <x:c r="Y162" s="24" t="str">
        <x:v>Non consignée</x:v>
      </x:c>
      <x:c r="Z162" s="24" t="str">
        <x:v>Périmée (0/6)</x:v>
      </x:c>
      <x:c r="AA162" s="23" t="str">
        <x:v>Validation navigateur passée. Publication exacte en attente de Thanh.</x:v>
      </x:c>
      <x:c r="AB162" s="21" t="str">
        <x:v>674f752f62b3179c8a21300c7796024f5935efc1</x:v>
      </x:c>
      <x:c r="AC162" s="21" t="str">
        <x:v>En cours</x:v>
      </x:c>
    </x:row>
    <x:row r="163" ht="40" customHeight="1">
      <x:c r="A163" s="22" t="str">
        <x:v>Grotte</x:v>
      </x:c>
      <x:c r="B163" s="22" t="str">
        <x:v>cave</x:v>
      </x:c>
      <x:c r="C163" s="26" t="n">
        <x:v>153</x:v>
      </x:c>
      <x:c r="D163" s="24" t="str">
        <x:v>Lot 09</x:v>
      </x:c>
      <x:c r="E163" s="25" t="str">
        <x:v>Lieux</x:v>
      </x:c>
      <x:c r="F163" s="24" t="str">
        <x:f>IF(AND(G163=8,COUNTIF(Q163:V163,"Atlas")=6),"Intégré","À faire")</x:f>
        <x:v>Intégré</x:v>
      </x:c>
      <x:c r="G163" s="27" t="n">
        <x:f>COUNTIF(I163:P163,"Présent")</x:f>
        <x:v>8</x:v>
      </x:c>
      <x:c r="H163" s="24" t="str">
        <x:v>Archivé local</x:v>
      </x:c>
      <x:c r="I163" s="24" t="str">
        <x:v>Présent</x:v>
      </x:c>
      <x:c r="J163" s="24" t="str">
        <x:v>Présent</x:v>
      </x:c>
      <x:c r="K163" s="24" t="str">
        <x:v>Présent</x:v>
      </x:c>
      <x:c r="L163" s="24" t="str">
        <x:v>Présent</x:v>
      </x:c>
      <x:c r="M163" s="24" t="str">
        <x:v>Présent</x:v>
      </x:c>
      <x:c r="N163" s="24" t="str">
        <x:v>Présent</x:v>
      </x:c>
      <x:c r="O163" s="24" t="str">
        <x:v>Présent</x:v>
      </x:c>
      <x:c r="P163" s="24" t="str">
        <x:v>Présent</x:v>
      </x:c>
      <x:c r="Q163" s="24" t="str">
        <x:v>Atlas</x:v>
      </x:c>
      <x:c r="R163" s="24" t="str">
        <x:v>Atlas</x:v>
      </x:c>
      <x:c r="S163" s="24" t="str">
        <x:v>Atlas</x:v>
      </x:c>
      <x:c r="T163" s="24" t="str">
        <x:v>Atlas</x:v>
      </x:c>
      <x:c r="U163" s="24" t="str">
        <x:v>Atlas</x:v>
      </x:c>
      <x:c r="V163" s="24" t="str">
        <x:v>Atlas</x:v>
      </x:c>
      <x:c r="W163" s="24" t="str">
        <x:v>6/6 actuelles</x:v>
      </x:c>
      <x:c r="X163" s="24" t="str">
        <x:v>6/6 actuelles</x:v>
      </x:c>
      <x:c r="Y163" s="24" t="str">
        <x:v>Non consignée</x:v>
      </x:c>
      <x:c r="Z163" s="24" t="str">
        <x:v>Périmée (0/6)</x:v>
      </x:c>
      <x:c r="AA163" s="23" t="str">
        <x:v>Validation navigateur passée. Publication exacte en attente de Thanh.</x:v>
      </x:c>
      <x:c r="AB163" s="21" t="str">
        <x:v>674f752f62b3179c8a21300c7796024f5935efc1</x:v>
      </x:c>
      <x:c r="AC163" s="21" t="str">
        <x:v>En cours</x:v>
      </x:c>
    </x:row>
    <x:row r="164" ht="40" customHeight="1">
      <x:c r="A164" s="22" t="str">
        <x:v>Guêpes</x:v>
      </x:c>
      <x:c r="B164" s="22" t="str">
        <x:v>wasp</x:v>
      </x:c>
      <x:c r="C164" s="26" t="n">
        <x:v>154</x:v>
      </x:c>
      <x:c r="D164" s="24" t="str">
        <x:v>Lot 13</x:v>
      </x:c>
      <x:c r="E164" s="25" t="str">
        <x:v>Animaux</x:v>
      </x:c>
      <x:c r="F164" s="24" t="str">
        <x:f>IF(AND(G164=8,COUNTIF(Q164:V164,"Atlas")=6),"Intégré","À faire")</x:f>
        <x:v>Intégré</x:v>
      </x:c>
      <x:c r="G164" s="27" t="n">
        <x:f>COUNTIF(I164:P164,"Présent")</x:f>
        <x:v>8</x:v>
      </x:c>
      <x:c r="H164" s="24" t="str">
        <x:v>Archivé Drive</x:v>
      </x:c>
      <x:c r="I164" s="24" t="str">
        <x:v>Présent</x:v>
      </x:c>
      <x:c r="J164" s="24" t="str">
        <x:v>Présent</x:v>
      </x:c>
      <x:c r="K164" s="24" t="str">
        <x:v>Présent</x:v>
      </x:c>
      <x:c r="L164" s="24" t="str">
        <x:v>Présent</x:v>
      </x:c>
      <x:c r="M164" s="24" t="str">
        <x:v>Présent</x:v>
      </x:c>
      <x:c r="N164" s="24" t="str">
        <x:v>Présent</x:v>
      </x:c>
      <x:c r="O164" s="24" t="str">
        <x:v>Présent</x:v>
      </x:c>
      <x:c r="P164" s="24" t="str">
        <x:v>Présent</x:v>
      </x:c>
      <x:c r="Q164" s="24" t="str">
        <x:v>Atlas</x:v>
      </x:c>
      <x:c r="R164" s="24" t="str">
        <x:v>Atlas</x:v>
      </x:c>
      <x:c r="S164" s="24" t="str">
        <x:v>Atlas</x:v>
      </x:c>
      <x:c r="T164" s="24" t="str">
        <x:v>Atlas</x:v>
      </x:c>
      <x:c r="U164" s="24" t="str">
        <x:v>Atlas</x:v>
      </x:c>
      <x:c r="V164" s="24" t="str">
        <x:v>Atlas</x:v>
      </x:c>
      <x:c r="W164" s="24" t="str">
        <x:v>6/6 actuelles</x:v>
      </x:c>
      <x:c r="X164" s="24" t="str">
        <x:v>6/6 actuelles</x:v>
      </x:c>
      <x:c r="Y164" s="24" t="str">
        <x:v>Non consignée</x:v>
      </x:c>
      <x:c r="Z164" s="24" t="str">
        <x:v>Périmée (0/6)</x:v>
      </x:c>
      <x:c r="AA164" s="23" t="str">
        <x:v>Validation navigateur passée. Publication exacte en attente de Thanh.</x:v>
      </x:c>
      <x:c r="AB164" s="21" t="str">
        <x:v>674f752f62b3179c8a21300c7796024f5935efc1</x:v>
      </x:c>
      <x:c r="AC164" s="21" t="str">
        <x:v>En cours</x:v>
      </x:c>
    </x:row>
    <x:row r="165" ht="40" customHeight="1">
      <x:c r="A165" s="22" t="str">
        <x:v>Guerre</x:v>
      </x:c>
      <x:c r="B165" s="22" t="str">
        <x:v>war</x:v>
      </x:c>
      <x:c r="C165" s="26" t="n">
        <x:v>155</x:v>
      </x:c>
      <x:c r="D165" s="24" t="str">
        <x:v>Lot 13</x:v>
      </x:c>
      <x:c r="E165" s="25" t="str">
        <x:v>Actions</x:v>
      </x:c>
      <x:c r="F165" s="24" t="str">
        <x:f>IF(AND(G165=8,COUNTIF(Q165:V165,"Atlas")=6),"Intégré","À faire")</x:f>
        <x:v>Intégré</x:v>
      </x:c>
      <x:c r="G165" s="27" t="n">
        <x:f>COUNTIF(I165:P165,"Présent")</x:f>
        <x:v>8</x:v>
      </x:c>
      <x:c r="H165" s="24" t="str">
        <x:v>Archivé Drive</x:v>
      </x:c>
      <x:c r="I165" s="24" t="str">
        <x:v>Présent</x:v>
      </x:c>
      <x:c r="J165" s="24" t="str">
        <x:v>Présent</x:v>
      </x:c>
      <x:c r="K165" s="24" t="str">
        <x:v>Présent</x:v>
      </x:c>
      <x:c r="L165" s="24" t="str">
        <x:v>Présent</x:v>
      </x:c>
      <x:c r="M165" s="24" t="str">
        <x:v>Présent</x:v>
      </x:c>
      <x:c r="N165" s="24" t="str">
        <x:v>Présent</x:v>
      </x:c>
      <x:c r="O165" s="24" t="str">
        <x:v>Présent</x:v>
      </x:c>
      <x:c r="P165" s="24" t="str">
        <x:v>Présent</x:v>
      </x:c>
      <x:c r="Q165" s="24" t="str">
        <x:v>Atlas</x:v>
      </x:c>
      <x:c r="R165" s="24" t="str">
        <x:v>Atlas</x:v>
      </x:c>
      <x:c r="S165" s="24" t="str">
        <x:v>Atlas</x:v>
      </x:c>
      <x:c r="T165" s="24" t="str">
        <x:v>Atlas</x:v>
      </x:c>
      <x:c r="U165" s="24" t="str">
        <x:v>Atlas</x:v>
      </x:c>
      <x:c r="V165" s="24" t="str">
        <x:v>Atlas</x:v>
      </x:c>
      <x:c r="W165" s="24" t="str">
        <x:v>6/6 actuelles</x:v>
      </x:c>
      <x:c r="X165" s="24" t="str">
        <x:v>6/6 actuelles</x:v>
      </x:c>
      <x:c r="Y165" s="24" t="str">
        <x:v>Non consignée</x:v>
      </x:c>
      <x:c r="Z165" s="24" t="str">
        <x:v>Périmée (0/6)</x:v>
      </x:c>
      <x:c r="AA165" s="23" t="str">
        <x:v>Validation navigateur passée. Publication exacte en attente de Thanh.</x:v>
      </x:c>
      <x:c r="AB165" s="21" t="str">
        <x:v>674f752f62b3179c8a21300c7796024f5935efc1</x:v>
      </x:c>
      <x:c r="AC165" s="21" t="str">
        <x:v>En cours</x:v>
      </x:c>
    </x:row>
    <x:row r="166" ht="40" customHeight="1">
      <x:c r="A166" s="22" t="str">
        <x:v>Hibou</x:v>
      </x:c>
      <x:c r="B166" s="22" t="str">
        <x:v>owl</x:v>
      </x:c>
      <x:c r="C166" s="26" t="n">
        <x:v>156</x:v>
      </x:c>
      <x:c r="D166" s="24" t="str">
        <x:v>Lot 09</x:v>
      </x:c>
      <x:c r="E166" s="25" t="str">
        <x:v>Animaux</x:v>
      </x:c>
      <x:c r="F166" s="24" t="str">
        <x:f>IF(AND(G166=8,COUNTIF(Q166:V166,"Atlas")=6),"Intégré","À faire")</x:f>
        <x:v>Intégré</x:v>
      </x:c>
      <x:c r="G166" s="27" t="n">
        <x:f>COUNTIF(I166:P166,"Présent")</x:f>
        <x:v>8</x:v>
      </x:c>
      <x:c r="H166" s="24" t="str">
        <x:v>Archivé local</x:v>
      </x:c>
      <x:c r="I166" s="24" t="str">
        <x:v>Présent</x:v>
      </x:c>
      <x:c r="J166" s="24" t="str">
        <x:v>Présent</x:v>
      </x:c>
      <x:c r="K166" s="24" t="str">
        <x:v>Présent</x:v>
      </x:c>
      <x:c r="L166" s="24" t="str">
        <x:v>Présent</x:v>
      </x:c>
      <x:c r="M166" s="24" t="str">
        <x:v>Présent</x:v>
      </x:c>
      <x:c r="N166" s="24" t="str">
        <x:v>Présent</x:v>
      </x:c>
      <x:c r="O166" s="24" t="str">
        <x:v>Présent</x:v>
      </x:c>
      <x:c r="P166" s="24" t="str">
        <x:v>Présent</x:v>
      </x:c>
      <x:c r="Q166" s="24" t="str">
        <x:v>Atlas</x:v>
      </x:c>
      <x:c r="R166" s="24" t="str">
        <x:v>Atlas</x:v>
      </x:c>
      <x:c r="S166" s="24" t="str">
        <x:v>Atlas</x:v>
      </x:c>
      <x:c r="T166" s="24" t="str">
        <x:v>Atlas</x:v>
      </x:c>
      <x:c r="U166" s="24" t="str">
        <x:v>Atlas</x:v>
      </x:c>
      <x:c r="V166" s="24" t="str">
        <x:v>Atlas</x:v>
      </x:c>
      <x:c r="W166" s="24" t="str">
        <x:v>6/6 actuelles</x:v>
      </x:c>
      <x:c r="X166" s="24" t="str">
        <x:v>6/6 actuelles</x:v>
      </x:c>
      <x:c r="Y166" s="24" t="str">
        <x:v>Non consignée</x:v>
      </x:c>
      <x:c r="Z166" s="24" t="str">
        <x:v>Périmée (0/6)</x:v>
      </x:c>
      <x:c r="AA166" s="23" t="str">
        <x:v>Validation navigateur passée. Publication exacte en attente de Thanh.</x:v>
      </x:c>
      <x:c r="AB166" s="21" t="str">
        <x:v>674f752f62b3179c8a21300c7796024f5935efc1</x:v>
      </x:c>
      <x:c r="AC166" s="21" t="str">
        <x:v>En cours</x:v>
      </x:c>
    </x:row>
    <x:row r="167" ht="40" customHeight="1">
      <x:c r="A167" s="22" t="str">
        <x:v>Hôpital</x:v>
      </x:c>
      <x:c r="B167" s="22" t="str">
        <x:v>hospital</x:v>
      </x:c>
      <x:c r="C167" s="26" t="n">
        <x:v>157</x:v>
      </x:c>
      <x:c r="D167" s="24" t="str">
        <x:v>Lot 08</x:v>
      </x:c>
      <x:c r="E167" s="25" t="str">
        <x:v>Lieux</x:v>
      </x:c>
      <x:c r="F167" s="24" t="str">
        <x:f>IF(AND(G167=8,COUNTIF(Q167:V167,"Atlas")=6),"Intégré","À faire")</x:f>
        <x:v>Intégré</x:v>
      </x:c>
      <x:c r="G167" s="27" t="n">
        <x:f>COUNTIF(I167:P167,"Présent")</x:f>
        <x:v>8</x:v>
      </x:c>
      <x:c r="H167" s="24" t="str">
        <x:v>Archivé Drive</x:v>
      </x:c>
      <x:c r="I167" s="24" t="str">
        <x:v>Présent</x:v>
      </x:c>
      <x:c r="J167" s="24" t="str">
        <x:v>Présent</x:v>
      </x:c>
      <x:c r="K167" s="24" t="str">
        <x:v>Présent</x:v>
      </x:c>
      <x:c r="L167" s="24" t="str">
        <x:v>Présent</x:v>
      </x:c>
      <x:c r="M167" s="24" t="str">
        <x:v>Présent</x:v>
      </x:c>
      <x:c r="N167" s="24" t="str">
        <x:v>Présent</x:v>
      </x:c>
      <x:c r="O167" s="24" t="str">
        <x:v>Présent</x:v>
      </x:c>
      <x:c r="P167" s="24" t="str">
        <x:v>Présent</x:v>
      </x:c>
      <x:c r="Q167" s="24" t="str">
        <x:v>Atlas</x:v>
      </x:c>
      <x:c r="R167" s="24" t="str">
        <x:v>Atlas</x:v>
      </x:c>
      <x:c r="S167" s="24" t="str">
        <x:v>Atlas</x:v>
      </x:c>
      <x:c r="T167" s="24" t="str">
        <x:v>Atlas</x:v>
      </x:c>
      <x:c r="U167" s="24" t="str">
        <x:v>Atlas</x:v>
      </x:c>
      <x:c r="V167" s="24" t="str">
        <x:v>Atlas</x:v>
      </x:c>
      <x:c r="W167" s="24" t="str">
        <x:v>6/6 actuelles</x:v>
      </x:c>
      <x:c r="X167" s="24" t="str">
        <x:v>6/6 actuelles</x:v>
      </x:c>
      <x:c r="Y167" s="24" t="str">
        <x:v>Non consignée</x:v>
      </x:c>
      <x:c r="Z167" s="24" t="str">
        <x:v>Périmée (0/6)</x:v>
      </x:c>
      <x:c r="AA167" s="23" t="str">
        <x:v>Validation navigateur passée. Publication exacte en attente de Thanh.</x:v>
      </x:c>
      <x:c r="AB167" s="21" t="str">
        <x:v>674f752f62b3179c8a21300c7796024f5935efc1</x:v>
      </x:c>
      <x:c r="AC167" s="21" t="str">
        <x:v>En cours</x:v>
      </x:c>
    </x:row>
    <x:row r="168" ht="40" customHeight="1">
      <x:c r="A168" s="22" t="str">
        <x:v>Hôtel</x:v>
      </x:c>
      <x:c r="B168" s="22" t="str">
        <x:v>hotel</x:v>
      </x:c>
      <x:c r="C168" s="26" t="n">
        <x:v>158</x:v>
      </x:c>
      <x:c r="D168" s="24" t="str">
        <x:v>Lot 12</x:v>
      </x:c>
      <x:c r="E168" s="25" t="str">
        <x:v>Lieux</x:v>
      </x:c>
      <x:c r="F168" s="24" t="str">
        <x:f>IF(AND(G168=8,COUNTIF(Q168:V168,"Atlas")=6),"Intégré","À faire")</x:f>
        <x:v>Intégré</x:v>
      </x:c>
      <x:c r="G168" s="27" t="n">
        <x:f>COUNTIF(I168:P168,"Présent")</x:f>
        <x:v>8</x:v>
      </x:c>
      <x:c r="H168" s="24" t="str">
        <x:v>Archivé Drive</x:v>
      </x:c>
      <x:c r="I168" s="24" t="str">
        <x:v>Présent</x:v>
      </x:c>
      <x:c r="J168" s="24" t="str">
        <x:v>Présent</x:v>
      </x:c>
      <x:c r="K168" s="24" t="str">
        <x:v>Présent</x:v>
      </x:c>
      <x:c r="L168" s="24" t="str">
        <x:v>Présent</x:v>
      </x:c>
      <x:c r="M168" s="24" t="str">
        <x:v>Présent</x:v>
      </x:c>
      <x:c r="N168" s="24" t="str">
        <x:v>Présent</x:v>
      </x:c>
      <x:c r="O168" s="24" t="str">
        <x:v>Présent</x:v>
      </x:c>
      <x:c r="P168" s="24" t="str">
        <x:v>Présent</x:v>
      </x:c>
      <x:c r="Q168" s="24" t="str">
        <x:v>Atlas</x:v>
      </x:c>
      <x:c r="R168" s="24" t="str">
        <x:v>Atlas</x:v>
      </x:c>
      <x:c r="S168" s="24" t="str">
        <x:v>Atlas</x:v>
      </x:c>
      <x:c r="T168" s="24" t="str">
        <x:v>Atlas</x:v>
      </x:c>
      <x:c r="U168" s="24" t="str">
        <x:v>Atlas</x:v>
      </x:c>
      <x:c r="V168" s="24" t="str">
        <x:v>Atlas</x:v>
      </x:c>
      <x:c r="W168" s="24" t="str">
        <x:v>6/6 actuelles</x:v>
      </x:c>
      <x:c r="X168" s="24" t="str">
        <x:v>6/6 actuelles</x:v>
      </x:c>
      <x:c r="Y168" s="24" t="str">
        <x:v>Non consignée</x:v>
      </x:c>
      <x:c r="Z168" s="24" t="str">
        <x:v>Périmée (0/6)</x:v>
      </x:c>
      <x:c r="AA168" s="23" t="str">
        <x:v>Validation navigateur passée. Publication exacte en attente de Thanh.</x:v>
      </x:c>
      <x:c r="AB168" s="21" t="str">
        <x:v>674f752f62b3179c8a21300c7796024f5935efc1</x:v>
      </x:c>
      <x:c r="AC168" s="21" t="str">
        <x:v>En cours</x:v>
      </x:c>
    </x:row>
    <x:row r="169" ht="40" customHeight="1">
      <x:c r="A169" s="22" t="str">
        <x:v>Île</x:v>
      </x:c>
      <x:c r="B169" s="22" t="str">
        <x:v>island</x:v>
      </x:c>
      <x:c r="C169" s="26" t="n">
        <x:v>159</x:v>
      </x:c>
      <x:c r="D169" s="24" t="str">
        <x:v>Lot 12</x:v>
      </x:c>
      <x:c r="E169" s="25" t="str">
        <x:v>Lieux</x:v>
      </x:c>
      <x:c r="F169" s="24" t="str">
        <x:f>IF(AND(G169=8,COUNTIF(Q169:V169,"Atlas")=6),"Intégré","À faire")</x:f>
        <x:v>Intégré</x:v>
      </x:c>
      <x:c r="G169" s="27" t="n">
        <x:f>COUNTIF(I169:P169,"Présent")</x:f>
        <x:v>8</x:v>
      </x:c>
      <x:c r="H169" s="24" t="str">
        <x:v>Archivé Drive</x:v>
      </x:c>
      <x:c r="I169" s="24" t="str">
        <x:v>Présent</x:v>
      </x:c>
      <x:c r="J169" s="24" t="str">
        <x:v>Présent</x:v>
      </x:c>
      <x:c r="K169" s="24" t="str">
        <x:v>Présent</x:v>
      </x:c>
      <x:c r="L169" s="24" t="str">
        <x:v>Présent</x:v>
      </x:c>
      <x:c r="M169" s="24" t="str">
        <x:v>Présent</x:v>
      </x:c>
      <x:c r="N169" s="24" t="str">
        <x:v>Présent</x:v>
      </x:c>
      <x:c r="O169" s="24" t="str">
        <x:v>Présent</x:v>
      </x:c>
      <x:c r="P169" s="24" t="str">
        <x:v>Présent</x:v>
      </x:c>
      <x:c r="Q169" s="24" t="str">
        <x:v>Atlas</x:v>
      </x:c>
      <x:c r="R169" s="24" t="str">
        <x:v>Atlas</x:v>
      </x:c>
      <x:c r="S169" s="24" t="str">
        <x:v>Atlas</x:v>
      </x:c>
      <x:c r="T169" s="24" t="str">
        <x:v>Atlas</x:v>
      </x:c>
      <x:c r="U169" s="24" t="str">
        <x:v>Atlas</x:v>
      </x:c>
      <x:c r="V169" s="24" t="str">
        <x:v>Atlas</x:v>
      </x:c>
      <x:c r="W169" s="24" t="str">
        <x:v>6/6 actuelles</x:v>
      </x:c>
      <x:c r="X169" s="24" t="str">
        <x:v>6/6 actuelles</x:v>
      </x:c>
      <x:c r="Y169" s="24" t="str">
        <x:v>Non consignée</x:v>
      </x:c>
      <x:c r="Z169" s="24" t="str">
        <x:v>Périmée (0/6)</x:v>
      </x:c>
      <x:c r="AA169" s="23" t="str">
        <x:v>Validation navigateur passée. Publication exacte en attente de Thanh.</x:v>
      </x:c>
      <x:c r="AB169" s="21" t="str">
        <x:v>674f752f62b3179c8a21300c7796024f5935efc1</x:v>
      </x:c>
      <x:c r="AC169" s="21" t="str">
        <x:v>En cours</x:v>
      </x:c>
    </x:row>
    <x:row r="170" ht="40" customHeight="1">
      <x:c r="A170" s="22" t="str">
        <x:v>Incapable de parler</x:v>
      </x:c>
      <x:c r="B170" s="22" t="str">
        <x:v>unable-to-speak</x:v>
      </x:c>
      <x:c r="C170" s="26" t="n">
        <x:v>160</x:v>
      </x:c>
      <x:c r="D170" s="24" t="str">
        <x:v>Lot 11</x:v>
      </x:c>
      <x:c r="E170" s="25" t="str">
        <x:v>Actions</x:v>
      </x:c>
      <x:c r="F170" s="24" t="str">
        <x:f>IF(AND(G170=8,COUNTIF(Q170:V170,"Atlas")=6),"Intégré","À faire")</x:f>
        <x:v>Intégré</x:v>
      </x:c>
      <x:c r="G170" s="27" t="n">
        <x:f>COUNTIF(I170:P170,"Présent")</x:f>
        <x:v>8</x:v>
      </x:c>
      <x:c r="H170" s="24" t="str">
        <x:v>Archivé Drive</x:v>
      </x:c>
      <x:c r="I170" s="24" t="str">
        <x:v>Présent</x:v>
      </x:c>
      <x:c r="J170" s="24" t="str">
        <x:v>Présent</x:v>
      </x:c>
      <x:c r="K170" s="24" t="str">
        <x:v>Présent</x:v>
      </x:c>
      <x:c r="L170" s="24" t="str">
        <x:v>Présent</x:v>
      </x:c>
      <x:c r="M170" s="24" t="str">
        <x:v>Présent</x:v>
      </x:c>
      <x:c r="N170" s="24" t="str">
        <x:v>Présent</x:v>
      </x:c>
      <x:c r="O170" s="24" t="str">
        <x:v>Présent</x:v>
      </x:c>
      <x:c r="P170" s="24" t="str">
        <x:v>Présent</x:v>
      </x:c>
      <x:c r="Q170" s="24" t="str">
        <x:v>Atlas</x:v>
      </x:c>
      <x:c r="R170" s="24" t="str">
        <x:v>Atlas</x:v>
      </x:c>
      <x:c r="S170" s="24" t="str">
        <x:v>Atlas</x:v>
      </x:c>
      <x:c r="T170" s="24" t="str">
        <x:v>Atlas</x:v>
      </x:c>
      <x:c r="U170" s="24" t="str">
        <x:v>Atlas</x:v>
      </x:c>
      <x:c r="V170" s="24" t="str">
        <x:v>Atlas</x:v>
      </x:c>
      <x:c r="W170" s="24" t="str">
        <x:v>6/6 actuelles</x:v>
      </x:c>
      <x:c r="X170" s="24" t="str">
        <x:v>6/6 actuelles</x:v>
      </x:c>
      <x:c r="Y170" s="24" t="str">
        <x:v>Non consignée</x:v>
      </x:c>
      <x:c r="Z170" s="24" t="str">
        <x:v>Périmée (0/6)</x:v>
      </x:c>
      <x:c r="AA170" s="23" t="str">
        <x:v>Validation navigateur passée. Publication exacte en attente de Thanh.</x:v>
      </x:c>
      <x:c r="AB170" s="21" t="str">
        <x:v>674f752f62b3179c8a21300c7796024f5935efc1</x:v>
      </x:c>
      <x:c r="AC170" s="21" t="str">
        <x:v>En cours</x:v>
      </x:c>
    </x:row>
    <x:row r="171" ht="40" customHeight="1">
      <x:c r="A171" s="22" t="str">
        <x:v>Inconnu</x:v>
      </x:c>
      <x:c r="B171" s="22" t="str">
        <x:v>stranger</x:v>
      </x:c>
      <x:c r="C171" s="26" t="n">
        <x:v>161</x:v>
      </x:c>
      <x:c r="D171" s="24" t="str">
        <x:v>Lot 10</x:v>
      </x:c>
      <x:c r="E171" s="25" t="str">
        <x:v>Personnes</x:v>
      </x:c>
      <x:c r="F171" s="24" t="str">
        <x:f>IF(AND(G171=8,COUNTIF(Q171:V171,"Atlas")=6),"Intégré","À faire")</x:f>
        <x:v>Intégré</x:v>
      </x:c>
      <x:c r="G171" s="27" t="n">
        <x:f>COUNTIF(I171:P171,"Présent")</x:f>
        <x:v>8</x:v>
      </x:c>
      <x:c r="H171" s="24" t="str">
        <x:v>Archivé Drive</x:v>
      </x:c>
      <x:c r="I171" s="24" t="str">
        <x:v>Présent</x:v>
      </x:c>
      <x:c r="J171" s="24" t="str">
        <x:v>Présent</x:v>
      </x:c>
      <x:c r="K171" s="24" t="str">
        <x:v>Présent</x:v>
      </x:c>
      <x:c r="L171" s="24" t="str">
        <x:v>Présent</x:v>
      </x:c>
      <x:c r="M171" s="24" t="str">
        <x:v>Présent</x:v>
      </x:c>
      <x:c r="N171" s="24" t="str">
        <x:v>Présent</x:v>
      </x:c>
      <x:c r="O171" s="24" t="str">
        <x:v>Présent</x:v>
      </x:c>
      <x:c r="P171" s="24" t="str">
        <x:v>Présent</x:v>
      </x:c>
      <x:c r="Q171" s="24" t="str">
        <x:v>Atlas</x:v>
      </x:c>
      <x:c r="R171" s="24" t="str">
        <x:v>Atlas</x:v>
      </x:c>
      <x:c r="S171" s="24" t="str">
        <x:v>Atlas</x:v>
      </x:c>
      <x:c r="T171" s="24" t="str">
        <x:v>Atlas</x:v>
      </x:c>
      <x:c r="U171" s="24" t="str">
        <x:v>Atlas</x:v>
      </x:c>
      <x:c r="V171" s="24" t="str">
        <x:v>Atlas</x:v>
      </x:c>
      <x:c r="W171" s="24" t="str">
        <x:v>6/6 actuelles</x:v>
      </x:c>
      <x:c r="X171" s="24" t="str">
        <x:v>6/6 actuelles</x:v>
      </x:c>
      <x:c r="Y171" s="24" t="str">
        <x:v>Non consignée</x:v>
      </x:c>
      <x:c r="Z171" s="24" t="str">
        <x:v>Périmée (0/6)</x:v>
      </x:c>
      <x:c r="AA171" s="23" t="str">
        <x:v>Validation navigateur passée. Publication exacte en attente de Thanh.</x:v>
      </x:c>
      <x:c r="AB171" s="21" t="str">
        <x:v>674f752f62b3179c8a21300c7796024f5935efc1</x:v>
      </x:c>
      <x:c r="AC171" s="21" t="str">
        <x:v>En cours</x:v>
      </x:c>
    </x:row>
    <x:row r="172" ht="40" customHeight="1">
      <x:c r="A172" s="22" t="str">
        <x:v>Infidélité / Être trompé</x:v>
      </x:c>
      <x:c r="B172" s="22" t="str">
        <x:v>cheating</x:v>
      </x:c>
      <x:c r="C172" s="26" t="n">
        <x:v>162</x:v>
      </x:c>
      <x:c r="D172" s="24" t="str">
        <x:v>Lot 13</x:v>
      </x:c>
      <x:c r="E172" s="25" t="str">
        <x:v>Actions</x:v>
      </x:c>
      <x:c r="F172" s="24" t="str">
        <x:f>IF(AND(G172=8,COUNTIF(Q172:V172,"Atlas")=6),"Intégré","À faire")</x:f>
        <x:v>Intégré</x:v>
      </x:c>
      <x:c r="G172" s="27" t="n">
        <x:f>COUNTIF(I172:P172,"Présent")</x:f>
        <x:v>8</x:v>
      </x:c>
      <x:c r="H172" s="24" t="str">
        <x:v>Archivé Drive</x:v>
      </x:c>
      <x:c r="I172" s="24" t="str">
        <x:v>Présent</x:v>
      </x:c>
      <x:c r="J172" s="24" t="str">
        <x:v>Présent</x:v>
      </x:c>
      <x:c r="K172" s="24" t="str">
        <x:v>Présent</x:v>
      </x:c>
      <x:c r="L172" s="24" t="str">
        <x:v>Présent</x:v>
      </x:c>
      <x:c r="M172" s="24" t="str">
        <x:v>Présent</x:v>
      </x:c>
      <x:c r="N172" s="24" t="str">
        <x:v>Présent</x:v>
      </x:c>
      <x:c r="O172" s="24" t="str">
        <x:v>Présent</x:v>
      </x:c>
      <x:c r="P172" s="24" t="str">
        <x:v>Présent</x:v>
      </x:c>
      <x:c r="Q172" s="24" t="str">
        <x:v>Atlas</x:v>
      </x:c>
      <x:c r="R172" s="24" t="str">
        <x:v>Atlas</x:v>
      </x:c>
      <x:c r="S172" s="24" t="str">
        <x:v>Atlas</x:v>
      </x:c>
      <x:c r="T172" s="24" t="str">
        <x:v>Atlas</x:v>
      </x:c>
      <x:c r="U172" s="24" t="str">
        <x:v>Atlas</x:v>
      </x:c>
      <x:c r="V172" s="24" t="str">
        <x:v>Atlas</x:v>
      </x:c>
      <x:c r="W172" s="24" t="str">
        <x:v>6/6 actuelles</x:v>
      </x:c>
      <x:c r="X172" s="24" t="str">
        <x:v>6/6 actuelles</x:v>
      </x:c>
      <x:c r="Y172" s="24" t="str">
        <x:v>Non consignée</x:v>
      </x:c>
      <x:c r="Z172" s="24" t="str">
        <x:v>Périmée (0/6)</x:v>
      </x:c>
      <x:c r="AA172" s="23" t="str">
        <x:v>Validation navigateur passée. Publication exacte en attente de Thanh.</x:v>
      </x:c>
      <x:c r="AB172" s="21" t="str">
        <x:v>674f752f62b3179c8a21300c7796024f5935efc1</x:v>
      </x:c>
      <x:c r="AC172" s="21" t="str">
        <x:v>En cours</x:v>
      </x:c>
    </x:row>
    <x:row r="173" ht="40" customHeight="1">
      <x:c r="A173" s="22" t="str">
        <x:v>Inondation</x:v>
      </x:c>
      <x:c r="B173" s="22" t="str">
        <x:v>flood</x:v>
      </x:c>
      <x:c r="C173" s="26" t="n">
        <x:v>163</x:v>
      </x:c>
      <x:c r="D173" s="24" t="str">
        <x:v>Lot 08</x:v>
      </x:c>
      <x:c r="E173" s="25" t="str">
        <x:v>Nature</x:v>
      </x:c>
      <x:c r="F173" s="24" t="str">
        <x:f>IF(AND(G173=8,COUNTIF(Q173:V173,"Atlas")=6),"Intégré","À faire")</x:f>
        <x:v>Intégré</x:v>
      </x:c>
      <x:c r="G173" s="27" t="n">
        <x:f>COUNTIF(I173:P173,"Présent")</x:f>
        <x:v>8</x:v>
      </x:c>
      <x:c r="H173" s="24" t="str">
        <x:v>Archivé Drive</x:v>
      </x:c>
      <x:c r="I173" s="24" t="str">
        <x:v>Présent</x:v>
      </x:c>
      <x:c r="J173" s="24" t="str">
        <x:v>Présent</x:v>
      </x:c>
      <x:c r="K173" s="24" t="str">
        <x:v>Présent</x:v>
      </x:c>
      <x:c r="L173" s="24" t="str">
        <x:v>Présent</x:v>
      </x:c>
      <x:c r="M173" s="24" t="str">
        <x:v>Présent</x:v>
      </x:c>
      <x:c r="N173" s="24" t="str">
        <x:v>Présent</x:v>
      </x:c>
      <x:c r="O173" s="24" t="str">
        <x:v>Présent</x:v>
      </x:c>
      <x:c r="P173" s="24" t="str">
        <x:v>Présent</x:v>
      </x:c>
      <x:c r="Q173" s="24" t="str">
        <x:v>Atlas</x:v>
      </x:c>
      <x:c r="R173" s="24" t="str">
        <x:v>Atlas</x:v>
      </x:c>
      <x:c r="S173" s="24" t="str">
        <x:v>Atlas</x:v>
      </x:c>
      <x:c r="T173" s="24" t="str">
        <x:v>Atlas</x:v>
      </x:c>
      <x:c r="U173" s="24" t="str">
        <x:v>Atlas</x:v>
      </x:c>
      <x:c r="V173" s="24" t="str">
        <x:v>Atlas</x:v>
      </x:c>
      <x:c r="W173" s="24" t="str">
        <x:v>6/6 actuelles</x:v>
      </x:c>
      <x:c r="X173" s="24" t="str">
        <x:v>6/6 actuelles</x:v>
      </x:c>
      <x:c r="Y173" s="24" t="str">
        <x:v>Non consignée</x:v>
      </x:c>
      <x:c r="Z173" s="24" t="str">
        <x:v>Périmée (0/6)</x:v>
      </x:c>
      <x:c r="AA173" s="23" t="str">
        <x:v>Validation navigateur passée. Publication exacte en attente de Thanh.</x:v>
      </x:c>
      <x:c r="AB173" s="21" t="str">
        <x:v>674f752f62b3179c8a21300c7796024f5935efc1</x:v>
      </x:c>
      <x:c r="AC173" s="21" t="str">
        <x:v>En cours</x:v>
      </x:c>
    </x:row>
    <x:row r="174" ht="40" customHeight="1">
      <x:c r="A174" s="22" t="str">
        <x:v>Jardin</x:v>
      </x:c>
      <x:c r="B174" s="22" t="str">
        <x:v>garden</x:v>
      </x:c>
      <x:c r="C174" s="26" t="n">
        <x:v>164</x:v>
      </x:c>
      <x:c r="D174" s="24" t="str">
        <x:v>Lot 12</x:v>
      </x:c>
      <x:c r="E174" s="25" t="str">
        <x:v>Lieux</x:v>
      </x:c>
      <x:c r="F174" s="24" t="str">
        <x:f>IF(AND(G174=8,COUNTIF(Q174:V174,"Atlas")=6),"Intégré","À faire")</x:f>
        <x:v>Intégré</x:v>
      </x:c>
      <x:c r="G174" s="27" t="n">
        <x:f>COUNTIF(I174:P174,"Présent")</x:f>
        <x:v>8</x:v>
      </x:c>
      <x:c r="H174" s="24" t="str">
        <x:v>Archivé Drive</x:v>
      </x:c>
      <x:c r="I174" s="24" t="str">
        <x:v>Présent</x:v>
      </x:c>
      <x:c r="J174" s="24" t="str">
        <x:v>Présent</x:v>
      </x:c>
      <x:c r="K174" s="24" t="str">
        <x:v>Présent</x:v>
      </x:c>
      <x:c r="L174" s="24" t="str">
        <x:v>Présent</x:v>
      </x:c>
      <x:c r="M174" s="24" t="str">
        <x:v>Présent</x:v>
      </x:c>
      <x:c r="N174" s="24" t="str">
        <x:v>Présent</x:v>
      </x:c>
      <x:c r="O174" s="24" t="str">
        <x:v>Présent</x:v>
      </x:c>
      <x:c r="P174" s="24" t="str">
        <x:v>Présent</x:v>
      </x:c>
      <x:c r="Q174" s="24" t="str">
        <x:v>Atlas</x:v>
      </x:c>
      <x:c r="R174" s="24" t="str">
        <x:v>Atlas</x:v>
      </x:c>
      <x:c r="S174" s="24" t="str">
        <x:v>Atlas</x:v>
      </x:c>
      <x:c r="T174" s="24" t="str">
        <x:v>Atlas</x:v>
      </x:c>
      <x:c r="U174" s="24" t="str">
        <x:v>Atlas</x:v>
      </x:c>
      <x:c r="V174" s="24" t="str">
        <x:v>Atlas</x:v>
      </x:c>
      <x:c r="W174" s="24" t="str">
        <x:v>6/6 actuelles</x:v>
      </x:c>
      <x:c r="X174" s="24" t="str">
        <x:v>6/6 actuelles</x:v>
      </x:c>
      <x:c r="Y174" s="24" t="str">
        <x:v>Non consignée</x:v>
      </x:c>
      <x:c r="Z174" s="24" t="str">
        <x:v>Périmée (0/6)</x:v>
      </x:c>
      <x:c r="AA174" s="23" t="str">
        <x:v>Validation navigateur passée. Publication exacte en attente de Thanh.</x:v>
      </x:c>
      <x:c r="AB174" s="21" t="str">
        <x:v>674f752f62b3179c8a21300c7796024f5935efc1</x:v>
      </x:c>
      <x:c r="AC174" s="21" t="str">
        <x:v>En cours</x:v>
      </x:c>
    </x:row>
    <x:row r="175" ht="40" customHeight="1">
      <x:c r="A175" s="22" t="str">
        <x:v>Lac</x:v>
      </x:c>
      <x:c r="B175" s="22" t="str">
        <x:v>lake</x:v>
      </x:c>
      <x:c r="C175" s="26" t="n">
        <x:v>165</x:v>
      </x:c>
      <x:c r="D175" s="24" t="str">
        <x:v>Lot 12</x:v>
      </x:c>
      <x:c r="E175" s="25" t="str">
        <x:v>Nature</x:v>
      </x:c>
      <x:c r="F175" s="24" t="str">
        <x:f>IF(AND(G175=8,COUNTIF(Q175:V175,"Atlas")=6),"Intégré","À faire")</x:f>
        <x:v>Intégré</x:v>
      </x:c>
      <x:c r="G175" s="27" t="n">
        <x:f>COUNTIF(I175:P175,"Présent")</x:f>
        <x:v>8</x:v>
      </x:c>
      <x:c r="H175" s="24" t="str">
        <x:v>Archivé Drive</x:v>
      </x:c>
      <x:c r="I175" s="24" t="str">
        <x:v>Présent</x:v>
      </x:c>
      <x:c r="J175" s="24" t="str">
        <x:v>Présent</x:v>
      </x:c>
      <x:c r="K175" s="24" t="str">
        <x:v>Présent</x:v>
      </x:c>
      <x:c r="L175" s="24" t="str">
        <x:v>Présent</x:v>
      </x:c>
      <x:c r="M175" s="24" t="str">
        <x:v>Présent</x:v>
      </x:c>
      <x:c r="N175" s="24" t="str">
        <x:v>Présent</x:v>
      </x:c>
      <x:c r="O175" s="24" t="str">
        <x:v>Présent</x:v>
      </x:c>
      <x:c r="P175" s="24" t="str">
        <x:v>Présent</x:v>
      </x:c>
      <x:c r="Q175" s="24" t="str">
        <x:v>Atlas</x:v>
      </x:c>
      <x:c r="R175" s="24" t="str">
        <x:v>Atlas</x:v>
      </x:c>
      <x:c r="S175" s="24" t="str">
        <x:v>Atlas</x:v>
      </x:c>
      <x:c r="T175" s="24" t="str">
        <x:v>Atlas</x:v>
      </x:c>
      <x:c r="U175" s="24" t="str">
        <x:v>Atlas</x:v>
      </x:c>
      <x:c r="V175" s="24" t="str">
        <x:v>Atlas</x:v>
      </x:c>
      <x:c r="W175" s="24" t="str">
        <x:v>6/6 actuelles</x:v>
      </x:c>
      <x:c r="X175" s="24" t="str">
        <x:v>6/6 actuelles</x:v>
      </x:c>
      <x:c r="Y175" s="24" t="str">
        <x:v>Non consignée</x:v>
      </x:c>
      <x:c r="Z175" s="24" t="str">
        <x:v>Périmée (0/6)</x:v>
      </x:c>
      <x:c r="AA175" s="23" t="str">
        <x:v>Validation navigateur passée. Publication exacte en attente de Thanh.</x:v>
      </x:c>
      <x:c r="AB175" s="21" t="str">
        <x:v>674f752f62b3179c8a21300c7796024f5935efc1</x:v>
      </x:c>
      <x:c r="AC175" s="21" t="str">
        <x:v>En cours</x:v>
      </x:c>
    </x:row>
    <x:row r="176" ht="40" customHeight="1">
      <x:c r="A176" s="22" t="str">
        <x:v>Lapin</x:v>
      </x:c>
      <x:c r="B176" s="22" t="str">
        <x:v>rabbit</x:v>
      </x:c>
      <x:c r="C176" s="26" t="n">
        <x:v>166</x:v>
      </x:c>
      <x:c r="D176" s="24" t="str">
        <x:v>Lot 12</x:v>
      </x:c>
      <x:c r="E176" s="25" t="str">
        <x:v>Animaux</x:v>
      </x:c>
      <x:c r="F176" s="24" t="str">
        <x:f>IF(AND(G176=8,COUNTIF(Q176:V176,"Atlas")=6),"Intégré","À faire")</x:f>
        <x:v>Intégré</x:v>
      </x:c>
      <x:c r="G176" s="27" t="n">
        <x:f>COUNTIF(I176:P176,"Présent")</x:f>
        <x:v>8</x:v>
      </x:c>
      <x:c r="H176" s="24" t="str">
        <x:v>Archivé Drive</x:v>
      </x:c>
      <x:c r="I176" s="24" t="str">
        <x:v>Présent</x:v>
      </x:c>
      <x:c r="J176" s="24" t="str">
        <x:v>Présent</x:v>
      </x:c>
      <x:c r="K176" s="24" t="str">
        <x:v>Présent</x:v>
      </x:c>
      <x:c r="L176" s="24" t="str">
        <x:v>Présent</x:v>
      </x:c>
      <x:c r="M176" s="24" t="str">
        <x:v>Présent</x:v>
      </x:c>
      <x:c r="N176" s="24" t="str">
        <x:v>Présent</x:v>
      </x:c>
      <x:c r="O176" s="24" t="str">
        <x:v>Présent</x:v>
      </x:c>
      <x:c r="P176" s="24" t="str">
        <x:v>Présent</x:v>
      </x:c>
      <x:c r="Q176" s="24" t="str">
        <x:v>Atlas</x:v>
      </x:c>
      <x:c r="R176" s="24" t="str">
        <x:v>Atlas</x:v>
      </x:c>
      <x:c r="S176" s="24" t="str">
        <x:v>Atlas</x:v>
      </x:c>
      <x:c r="T176" s="24" t="str">
        <x:v>Atlas</x:v>
      </x:c>
      <x:c r="U176" s="24" t="str">
        <x:v>Atlas</x:v>
      </x:c>
      <x:c r="V176" s="24" t="str">
        <x:v>Atlas</x:v>
      </x:c>
      <x:c r="W176" s="24" t="str">
        <x:v>6/6 actuelles</x:v>
      </x:c>
      <x:c r="X176" s="24" t="str">
        <x:v>6/6 actuelles</x:v>
      </x:c>
      <x:c r="Y176" s="24" t="str">
        <x:v>Non consignée</x:v>
      </x:c>
      <x:c r="Z176" s="24" t="str">
        <x:v>Périmée (0/6)</x:v>
      </x:c>
      <x:c r="AA176" s="23" t="str">
        <x:v>Validation navigateur passée. Publication exacte en attente de Thanh.</x:v>
      </x:c>
      <x:c r="AB176" s="21" t="str">
        <x:v>674f752f62b3179c8a21300c7796024f5935efc1</x:v>
      </x:c>
      <x:c r="AC176" s="21" t="str">
        <x:v>En cours</x:v>
      </x:c>
    </x:row>
    <x:row r="177" ht="40" customHeight="1">
      <x:c r="A177" s="22" t="str">
        <x:v>Lettre</x:v>
      </x:c>
      <x:c r="B177" s="22" t="str">
        <x:v>letter</x:v>
      </x:c>
      <x:c r="C177" s="26" t="n">
        <x:v>167</x:v>
      </x:c>
      <x:c r="D177" s="24" t="str">
        <x:v>Lot 11</x:v>
      </x:c>
      <x:c r="E177" s="25" t="str">
        <x:v>Objets</x:v>
      </x:c>
      <x:c r="F177" s="24" t="str">
        <x:f>IF(AND(G177=8,COUNTIF(Q177:V177,"Atlas")=6),"Intégré","À faire")</x:f>
        <x:v>Intégré</x:v>
      </x:c>
      <x:c r="G177" s="27" t="n">
        <x:f>COUNTIF(I177:P177,"Présent")</x:f>
        <x:v>8</x:v>
      </x:c>
      <x:c r="H177" s="24" t="str">
        <x:v>Archivé Drive</x:v>
      </x:c>
      <x:c r="I177" s="24" t="str">
        <x:v>Présent</x:v>
      </x:c>
      <x:c r="J177" s="24" t="str">
        <x:v>Présent</x:v>
      </x:c>
      <x:c r="K177" s="24" t="str">
        <x:v>Présent</x:v>
      </x:c>
      <x:c r="L177" s="24" t="str">
        <x:v>Présent</x:v>
      </x:c>
      <x:c r="M177" s="24" t="str">
        <x:v>Présent</x:v>
      </x:c>
      <x:c r="N177" s="24" t="str">
        <x:v>Présent</x:v>
      </x:c>
      <x:c r="O177" s="24" t="str">
        <x:v>Présent</x:v>
      </x:c>
      <x:c r="P177" s="24" t="str">
        <x:v>Présent</x:v>
      </x:c>
      <x:c r="Q177" s="24" t="str">
        <x:v>Atlas</x:v>
      </x:c>
      <x:c r="R177" s="24" t="str">
        <x:v>Atlas</x:v>
      </x:c>
      <x:c r="S177" s="24" t="str">
        <x:v>Atlas</x:v>
      </x:c>
      <x:c r="T177" s="24" t="str">
        <x:v>Atlas</x:v>
      </x:c>
      <x:c r="U177" s="24" t="str">
        <x:v>Atlas</x:v>
      </x:c>
      <x:c r="V177" s="24" t="str">
        <x:v>Atlas</x:v>
      </x:c>
      <x:c r="W177" s="24" t="str">
        <x:v>6/6 actuelles</x:v>
      </x:c>
      <x:c r="X177" s="24" t="str">
        <x:v>6/6 actuelles</x:v>
      </x:c>
      <x:c r="Y177" s="24" t="str">
        <x:v>Non consignée</x:v>
      </x:c>
      <x:c r="Z177" s="24" t="str">
        <x:v>Périmée (0/6)</x:v>
      </x:c>
      <x:c r="AA177" s="23" t="str">
        <x:v>Validation navigateur passée. Publication exacte en attente de Thanh.</x:v>
      </x:c>
      <x:c r="AB177" s="21" t="str">
        <x:v>674f752f62b3179c8a21300c7796024f5935efc1</x:v>
      </x:c>
      <x:c r="AC177" s="21" t="str">
        <x:v>En cours</x:v>
      </x:c>
    </x:row>
    <x:row r="178" ht="40" customHeight="1">
      <x:c r="A178" s="22" t="str">
        <x:v>Lézard</x:v>
      </x:c>
      <x:c r="B178" s="22" t="str">
        <x:v>lizard</x:v>
      </x:c>
      <x:c r="C178" s="26" t="n">
        <x:v>168</x:v>
      </x:c>
      <x:c r="D178" s="24" t="str">
        <x:v>Lot 13</x:v>
      </x:c>
      <x:c r="E178" s="25" t="str">
        <x:v>Animaux</x:v>
      </x:c>
      <x:c r="F178" s="24" t="str">
        <x:f>IF(AND(G178=8,COUNTIF(Q178:V178,"Atlas")=6),"Intégré","À faire")</x:f>
        <x:v>Intégré</x:v>
      </x:c>
      <x:c r="G178" s="27" t="n">
        <x:f>COUNTIF(I178:P178,"Présent")</x:f>
        <x:v>8</x:v>
      </x:c>
      <x:c r="H178" s="24" t="str">
        <x:v>Archivé Drive</x:v>
      </x:c>
      <x:c r="I178" s="24" t="str">
        <x:v>Présent</x:v>
      </x:c>
      <x:c r="J178" s="24" t="str">
        <x:v>Présent</x:v>
      </x:c>
      <x:c r="K178" s="24" t="str">
        <x:v>Présent</x:v>
      </x:c>
      <x:c r="L178" s="24" t="str">
        <x:v>Présent</x:v>
      </x:c>
      <x:c r="M178" s="24" t="str">
        <x:v>Présent</x:v>
      </x:c>
      <x:c r="N178" s="24" t="str">
        <x:v>Présent</x:v>
      </x:c>
      <x:c r="O178" s="24" t="str">
        <x:v>Présent</x:v>
      </x:c>
      <x:c r="P178" s="24" t="str">
        <x:v>Présent</x:v>
      </x:c>
      <x:c r="Q178" s="24" t="str">
        <x:v>Atlas</x:v>
      </x:c>
      <x:c r="R178" s="24" t="str">
        <x:v>Atlas</x:v>
      </x:c>
      <x:c r="S178" s="24" t="str">
        <x:v>Atlas</x:v>
      </x:c>
      <x:c r="T178" s="24" t="str">
        <x:v>Atlas</x:v>
      </x:c>
      <x:c r="U178" s="24" t="str">
        <x:v>Atlas</x:v>
      </x:c>
      <x:c r="V178" s="24" t="str">
        <x:v>Atlas</x:v>
      </x:c>
      <x:c r="W178" s="24" t="str">
        <x:v>6/6 actuelles</x:v>
      </x:c>
      <x:c r="X178" s="24" t="str">
        <x:v>6/6 actuelles</x:v>
      </x:c>
      <x:c r="Y178" s="24" t="str">
        <x:v>Non consignée</x:v>
      </x:c>
      <x:c r="Z178" s="24" t="str">
        <x:v>Périmée (0/6)</x:v>
      </x:c>
      <x:c r="AA178" s="23" t="str">
        <x:v>Validation navigateur passée. Publication exacte en attente de Thanh.</x:v>
      </x:c>
      <x:c r="AB178" s="21" t="str">
        <x:v>674f752f62b3179c8a21300c7796024f5935efc1</x:v>
      </x:c>
      <x:c r="AC178" s="21" t="str">
        <x:v>En cours</x:v>
      </x:c>
    </x:row>
    <x:row r="179" ht="40" customHeight="1">
      <x:c r="A179" s="22" t="str">
        <x:v>Lieu de travail</x:v>
      </x:c>
      <x:c r="B179" s="22" t="str">
        <x:v>workplace</x:v>
      </x:c>
      <x:c r="C179" s="26" t="n">
        <x:v>169</x:v>
      </x:c>
      <x:c r="D179" s="24" t="str">
        <x:v>Lot 10</x:v>
      </x:c>
      <x:c r="E179" s="25" t="str">
        <x:v>Lieux</x:v>
      </x:c>
      <x:c r="F179" s="24" t="str">
        <x:f>IF(AND(G179=8,COUNTIF(Q179:V179,"Atlas")=6),"Intégré","À faire")</x:f>
        <x:v>Intégré</x:v>
      </x:c>
      <x:c r="G179" s="27" t="n">
        <x:f>COUNTIF(I179:P179,"Présent")</x:f>
        <x:v>8</x:v>
      </x:c>
      <x:c r="H179" s="24" t="str">
        <x:v>Archivé Drive</x:v>
      </x:c>
      <x:c r="I179" s="24" t="str">
        <x:v>Présent</x:v>
      </x:c>
      <x:c r="J179" s="24" t="str">
        <x:v>Présent</x:v>
      </x:c>
      <x:c r="K179" s="24" t="str">
        <x:v>Présent</x:v>
      </x:c>
      <x:c r="L179" s="24" t="str">
        <x:v>Présent</x:v>
      </x:c>
      <x:c r="M179" s="24" t="str">
        <x:v>Présent</x:v>
      </x:c>
      <x:c r="N179" s="24" t="str">
        <x:v>Présent</x:v>
      </x:c>
      <x:c r="O179" s="24" t="str">
        <x:v>Présent</x:v>
      </x:c>
      <x:c r="P179" s="24" t="str">
        <x:v>Présent</x:v>
      </x:c>
      <x:c r="Q179" s="24" t="str">
        <x:v>Atlas</x:v>
      </x:c>
      <x:c r="R179" s="24" t="str">
        <x:v>Atlas</x:v>
      </x:c>
      <x:c r="S179" s="24" t="str">
        <x:v>Atlas</x:v>
      </x:c>
      <x:c r="T179" s="24" t="str">
        <x:v>Atlas</x:v>
      </x:c>
      <x:c r="U179" s="24" t="str">
        <x:v>Atlas</x:v>
      </x:c>
      <x:c r="V179" s="24" t="str">
        <x:v>Atlas</x:v>
      </x:c>
      <x:c r="W179" s="24" t="str">
        <x:v>6/6 actuelles</x:v>
      </x:c>
      <x:c r="X179" s="24" t="str">
        <x:v>6/6 actuelles</x:v>
      </x:c>
      <x:c r="Y179" s="24" t="str">
        <x:v>Non consignée</x:v>
      </x:c>
      <x:c r="Z179" s="24" t="str">
        <x:v>Périmée (0/6)</x:v>
      </x:c>
      <x:c r="AA179" s="23" t="str">
        <x:v>Validation navigateur passée. Publication exacte en attente de Thanh.</x:v>
      </x:c>
      <x:c r="AB179" s="21" t="str">
        <x:v>674f752f62b3179c8a21300c7796024f5935efc1</x:v>
      </x:c>
      <x:c r="AC179" s="21" t="str">
        <x:v>En cours</x:v>
      </x:c>
    </x:row>
    <x:row r="180" ht="40" customHeight="1">
      <x:c r="A180" s="22" t="str">
        <x:v>Lion</x:v>
      </x:c>
      <x:c r="B180" s="22" t="str">
        <x:v>lion</x:v>
      </x:c>
      <x:c r="C180" s="26" t="n">
        <x:v>170</x:v>
      </x:c>
      <x:c r="D180" s="24" t="str">
        <x:v>Lot 08</x:v>
      </x:c>
      <x:c r="E180" s="25" t="str">
        <x:v>Animaux</x:v>
      </x:c>
      <x:c r="F180" s="24" t="str">
        <x:f>IF(AND(G180=8,COUNTIF(Q180:V180,"Atlas")=6),"Intégré","À faire")</x:f>
        <x:v>Intégré</x:v>
      </x:c>
      <x:c r="G180" s="27" t="n">
        <x:f>COUNTIF(I180:P180,"Présent")</x:f>
        <x:v>8</x:v>
      </x:c>
      <x:c r="H180" s="24" t="str">
        <x:v>Archivé Drive</x:v>
      </x:c>
      <x:c r="I180" s="24" t="str">
        <x:v>Présent</x:v>
      </x:c>
      <x:c r="J180" s="24" t="str">
        <x:v>Présent</x:v>
      </x:c>
      <x:c r="K180" s="24" t="str">
        <x:v>Présent</x:v>
      </x:c>
      <x:c r="L180" s="24" t="str">
        <x:v>Présent</x:v>
      </x:c>
      <x:c r="M180" s="24" t="str">
        <x:v>Présent</x:v>
      </x:c>
      <x:c r="N180" s="24" t="str">
        <x:v>Présent</x:v>
      </x:c>
      <x:c r="O180" s="24" t="str">
        <x:v>Présent</x:v>
      </x:c>
      <x:c r="P180" s="24" t="str">
        <x:v>Présent</x:v>
      </x:c>
      <x:c r="Q180" s="24" t="str">
        <x:v>Atlas</x:v>
      </x:c>
      <x:c r="R180" s="24" t="str">
        <x:v>Atlas</x:v>
      </x:c>
      <x:c r="S180" s="24" t="str">
        <x:v>Atlas</x:v>
      </x:c>
      <x:c r="T180" s="24" t="str">
        <x:v>Atlas</x:v>
      </x:c>
      <x:c r="U180" s="24" t="str">
        <x:v>Atlas</x:v>
      </x:c>
      <x:c r="V180" s="24" t="str">
        <x:v>Atlas</x:v>
      </x:c>
      <x:c r="W180" s="24" t="str">
        <x:v>6/6 actuelles</x:v>
      </x:c>
      <x:c r="X180" s="24" t="str">
        <x:v>6/6 actuelles</x:v>
      </x:c>
      <x:c r="Y180" s="24" t="str">
        <x:v>Non consignée</x:v>
      </x:c>
      <x:c r="Z180" s="24" t="str">
        <x:v>Périmée (0/6)</x:v>
      </x:c>
      <x:c r="AA180" s="23" t="str">
        <x:v>Validation navigateur passée. Publication exacte en attente de Thanh.</x:v>
      </x:c>
      <x:c r="AB180" s="21" t="str">
        <x:v>674f752f62b3179c8a21300c7796024f5935efc1</x:v>
      </x:c>
      <x:c r="AC180" s="21" t="str">
        <x:v>En cours</x:v>
      </x:c>
    </x:row>
    <x:row r="181" ht="40" customHeight="1">
      <x:c r="A181" s="22" t="str">
        <x:v>Mains</x:v>
      </x:c>
      <x:c r="B181" s="22" t="str">
        <x:v>hands</x:v>
      </x:c>
      <x:c r="C181" s="26" t="n">
        <x:v>171</x:v>
      </x:c>
      <x:c r="D181" s="24" t="str">
        <x:v>Lot 11</x:v>
      </x:c>
      <x:c r="E181" s="25" t="str">
        <x:v>Corps</x:v>
      </x:c>
      <x:c r="F181" s="24" t="str">
        <x:f>IF(AND(G181=8,COUNTIF(Q181:V181,"Atlas")=6),"Intégré","À faire")</x:f>
        <x:v>Intégré</x:v>
      </x:c>
      <x:c r="G181" s="27" t="n">
        <x:f>COUNTIF(I181:P181,"Présent")</x:f>
        <x:v>8</x:v>
      </x:c>
      <x:c r="H181" s="24" t="str">
        <x:v>Archivé Drive</x:v>
      </x:c>
      <x:c r="I181" s="24" t="str">
        <x:v>Présent</x:v>
      </x:c>
      <x:c r="J181" s="24" t="str">
        <x:v>Présent</x:v>
      </x:c>
      <x:c r="K181" s="24" t="str">
        <x:v>Présent</x:v>
      </x:c>
      <x:c r="L181" s="24" t="str">
        <x:v>Présent</x:v>
      </x:c>
      <x:c r="M181" s="24" t="str">
        <x:v>Présent</x:v>
      </x:c>
      <x:c r="N181" s="24" t="str">
        <x:v>Présent</x:v>
      </x:c>
      <x:c r="O181" s="24" t="str">
        <x:v>Présent</x:v>
      </x:c>
      <x:c r="P181" s="24" t="str">
        <x:v>Présent</x:v>
      </x:c>
      <x:c r="Q181" s="24" t="str">
        <x:v>Atlas</x:v>
      </x:c>
      <x:c r="R181" s="24" t="str">
        <x:v>Atlas</x:v>
      </x:c>
      <x:c r="S181" s="24" t="str">
        <x:v>Atlas</x:v>
      </x:c>
      <x:c r="T181" s="24" t="str">
        <x:v>Atlas</x:v>
      </x:c>
      <x:c r="U181" s="24" t="str">
        <x:v>Atlas</x:v>
      </x:c>
      <x:c r="V181" s="24" t="str">
        <x:v>Atlas</x:v>
      </x:c>
      <x:c r="W181" s="24" t="str">
        <x:v>6/6 actuelles</x:v>
      </x:c>
      <x:c r="X181" s="24" t="str">
        <x:v>6/6 actuelles</x:v>
      </x:c>
      <x:c r="Y181" s="24" t="str">
        <x:v>Non consignée</x:v>
      </x:c>
      <x:c r="Z181" s="24" t="str">
        <x:v>Périmée (0/6)</x:v>
      </x:c>
      <x:c r="AA181" s="23" t="str">
        <x:v>Validation navigateur passée. Publication exacte en attente de Thanh.</x:v>
      </x:c>
      <x:c r="AB181" s="21" t="str">
        <x:v>674f752f62b3179c8a21300c7796024f5935efc1</x:v>
      </x:c>
      <x:c r="AC181" s="21" t="str">
        <x:v>En cours</x:v>
      </x:c>
    </x:row>
    <x:row r="182" ht="40" customHeight="1">
      <x:c r="A182" s="22" t="str">
        <x:v>Maladie</x:v>
      </x:c>
      <x:c r="B182" s="22" t="str">
        <x:v>illness</x:v>
      </x:c>
      <x:c r="C182" s="26" t="n">
        <x:v>172</x:v>
      </x:c>
      <x:c r="D182" s="24" t="str">
        <x:v>Lot 11</x:v>
      </x:c>
      <x:c r="E182" s="25" t="str">
        <x:v>Corps</x:v>
      </x:c>
      <x:c r="F182" s="24" t="str">
        <x:f>IF(AND(G182=8,COUNTIF(Q182:V182,"Atlas")=6),"Intégré","À faire")</x:f>
        <x:v>Intégré</x:v>
      </x:c>
      <x:c r="G182" s="27" t="n">
        <x:f>COUNTIF(I182:P182,"Présent")</x:f>
        <x:v>8</x:v>
      </x:c>
      <x:c r="H182" s="24" t="str">
        <x:v>Archivé Drive</x:v>
      </x:c>
      <x:c r="I182" s="24" t="str">
        <x:v>Présent</x:v>
      </x:c>
      <x:c r="J182" s="24" t="str">
        <x:v>Présent</x:v>
      </x:c>
      <x:c r="K182" s="24" t="str">
        <x:v>Présent</x:v>
      </x:c>
      <x:c r="L182" s="24" t="str">
        <x:v>Présent</x:v>
      </x:c>
      <x:c r="M182" s="24" t="str">
        <x:v>Présent</x:v>
      </x:c>
      <x:c r="N182" s="24" t="str">
        <x:v>Présent</x:v>
      </x:c>
      <x:c r="O182" s="24" t="str">
        <x:v>Présent</x:v>
      </x:c>
      <x:c r="P182" s="24" t="str">
        <x:v>Présent</x:v>
      </x:c>
      <x:c r="Q182" s="24" t="str">
        <x:v>Atlas</x:v>
      </x:c>
      <x:c r="R182" s="24" t="str">
        <x:v>Atlas</x:v>
      </x:c>
      <x:c r="S182" s="24" t="str">
        <x:v>Atlas</x:v>
      </x:c>
      <x:c r="T182" s="24" t="str">
        <x:v>Atlas</x:v>
      </x:c>
      <x:c r="U182" s="24" t="str">
        <x:v>Atlas</x:v>
      </x:c>
      <x:c r="V182" s="24" t="str">
        <x:v>Atlas</x:v>
      </x:c>
      <x:c r="W182" s="24" t="str">
        <x:v>6/6 actuelles</x:v>
      </x:c>
      <x:c r="X182" s="24" t="str">
        <x:v>6/6 actuelles</x:v>
      </x:c>
      <x:c r="Y182" s="24" t="str">
        <x:v>Non consignée</x:v>
      </x:c>
      <x:c r="Z182" s="24" t="str">
        <x:v>Périmée (0/6)</x:v>
      </x:c>
      <x:c r="AA182" s="23" t="str">
        <x:v>Validation navigateur passée. Publication exacte en attente de Thanh.</x:v>
      </x:c>
      <x:c r="AB182" s="21" t="str">
        <x:v>674f752f62b3179c8a21300c7796024f5935efc1</x:v>
      </x:c>
      <x:c r="AC182" s="21" t="str">
        <x:v>En cours</x:v>
      </x:c>
    </x:row>
    <x:row r="183" ht="40" customHeight="1">
      <x:c r="A183" s="22" t="str">
        <x:v>Manger / Nourriture</x:v>
      </x:c>
      <x:c r="B183" s="22" t="str">
        <x:v>eating</x:v>
      </x:c>
      <x:c r="C183" s="26" t="n">
        <x:v>173</x:v>
      </x:c>
      <x:c r="D183" s="24" t="str">
        <x:v>Lot 13</x:v>
      </x:c>
      <x:c r="E183" s="25" t="str">
        <x:v>Actions</x:v>
      </x:c>
      <x:c r="F183" s="24" t="str">
        <x:f>IF(AND(G183=8,COUNTIF(Q183:V183,"Atlas")=6),"Intégré","À faire")</x:f>
        <x:v>Intégré</x:v>
      </x:c>
      <x:c r="G183" s="27" t="n">
        <x:f>COUNTIF(I183:P183,"Présent")</x:f>
        <x:v>8</x:v>
      </x:c>
      <x:c r="H183" s="24" t="str">
        <x:v>Archivé Drive</x:v>
      </x:c>
      <x:c r="I183" s="24" t="str">
        <x:v>Présent</x:v>
      </x:c>
      <x:c r="J183" s="24" t="str">
        <x:v>Présent</x:v>
      </x:c>
      <x:c r="K183" s="24" t="str">
        <x:v>Présent</x:v>
      </x:c>
      <x:c r="L183" s="24" t="str">
        <x:v>Présent</x:v>
      </x:c>
      <x:c r="M183" s="24" t="str">
        <x:v>Présent</x:v>
      </x:c>
      <x:c r="N183" s="24" t="str">
        <x:v>Présent</x:v>
      </x:c>
      <x:c r="O183" s="24" t="str">
        <x:v>Présent</x:v>
      </x:c>
      <x:c r="P183" s="24" t="str">
        <x:v>Présent</x:v>
      </x:c>
      <x:c r="Q183" s="24" t="str">
        <x:v>Atlas</x:v>
      </x:c>
      <x:c r="R183" s="24" t="str">
        <x:v>Atlas</x:v>
      </x:c>
      <x:c r="S183" s="24" t="str">
        <x:v>Atlas</x:v>
      </x:c>
      <x:c r="T183" s="24" t="str">
        <x:v>Atlas</x:v>
      </x:c>
      <x:c r="U183" s="24" t="str">
        <x:v>Atlas</x:v>
      </x:c>
      <x:c r="V183" s="24" t="str">
        <x:v>Atlas</x:v>
      </x:c>
      <x:c r="W183" s="24" t="str">
        <x:v>6/6 actuelles</x:v>
      </x:c>
      <x:c r="X183" s="24" t="str">
        <x:v>6/6 actuelles</x:v>
      </x:c>
      <x:c r="Y183" s="24" t="str">
        <x:v>Non consignée</x:v>
      </x:c>
      <x:c r="Z183" s="24" t="str">
        <x:v>Périmée (0/6)</x:v>
      </x:c>
      <x:c r="AA183" s="23" t="str">
        <x:v>Validation navigateur passée. Publication exacte en attente de Thanh.</x:v>
      </x:c>
      <x:c r="AB183" s="21" t="str">
        <x:v>674f752f62b3179c8a21300c7796024f5935efc1</x:v>
      </x:c>
      <x:c r="AC183" s="21" t="str">
        <x:v>En cours</x:v>
      </x:c>
    </x:row>
    <x:row r="184" ht="40" customHeight="1">
      <x:c r="A184" s="22" t="str">
        <x:v>Mariage</x:v>
      </x:c>
      <x:c r="B184" s="22" t="str">
        <x:v>wedding</x:v>
      </x:c>
      <x:c r="C184" s="26" t="n">
        <x:v>174</x:v>
      </x:c>
      <x:c r="D184" s="24" t="str">
        <x:v>Lot 08</x:v>
      </x:c>
      <x:c r="E184" s="25" t="str">
        <x:v>Actions</x:v>
      </x:c>
      <x:c r="F184" s="24" t="str">
        <x:f>IF(AND(G184=8,COUNTIF(Q184:V184,"Atlas")=6),"Intégré","À faire")</x:f>
        <x:v>Intégré</x:v>
      </x:c>
      <x:c r="G184" s="27" t="n">
        <x:f>COUNTIF(I184:P184,"Présent")</x:f>
        <x:v>8</x:v>
      </x:c>
      <x:c r="H184" s="24" t="str">
        <x:v>Archivé Drive</x:v>
      </x:c>
      <x:c r="I184" s="24" t="str">
        <x:v>Présent</x:v>
      </x:c>
      <x:c r="J184" s="24" t="str">
        <x:v>Présent</x:v>
      </x:c>
      <x:c r="K184" s="24" t="str">
        <x:v>Présent</x:v>
      </x:c>
      <x:c r="L184" s="24" t="str">
        <x:v>Présent</x:v>
      </x:c>
      <x:c r="M184" s="24" t="str">
        <x:v>Présent</x:v>
      </x:c>
      <x:c r="N184" s="24" t="str">
        <x:v>Présent</x:v>
      </x:c>
      <x:c r="O184" s="24" t="str">
        <x:v>Présent</x:v>
      </x:c>
      <x:c r="P184" s="24" t="str">
        <x:v>Présent</x:v>
      </x:c>
      <x:c r="Q184" s="24" t="str">
        <x:v>Atlas</x:v>
      </x:c>
      <x:c r="R184" s="24" t="str">
        <x:v>Atlas</x:v>
      </x:c>
      <x:c r="S184" s="24" t="str">
        <x:v>Atlas</x:v>
      </x:c>
      <x:c r="T184" s="24" t="str">
        <x:v>Atlas</x:v>
      </x:c>
      <x:c r="U184" s="24" t="str">
        <x:v>Atlas</x:v>
      </x:c>
      <x:c r="V184" s="24" t="str">
        <x:v>Atlas</x:v>
      </x:c>
      <x:c r="W184" s="24" t="str">
        <x:v>6/6 actuelles</x:v>
      </x:c>
      <x:c r="X184" s="24" t="str">
        <x:v>6/6 actuelles</x:v>
      </x:c>
      <x:c r="Y184" s="24" t="str">
        <x:v>Non consignée</x:v>
      </x:c>
      <x:c r="Z184" s="24" t="str">
        <x:v>Périmée (0/6)</x:v>
      </x:c>
      <x:c r="AA184" s="23" t="str">
        <x:v>Validation navigateur passée. Publication exacte en attente de Thanh.</x:v>
      </x:c>
      <x:c r="AB184" s="21" t="str">
        <x:v>674f752f62b3179c8a21300c7796024f5935efc1</x:v>
      </x:c>
      <x:c r="AC184" s="21" t="str">
        <x:v>En cours</x:v>
      </x:c>
    </x:row>
    <x:row r="185" ht="40" customHeight="1">
      <x:c r="A185" s="22" t="str">
        <x:v>Masque</x:v>
      </x:c>
      <x:c r="B185" s="22" t="str">
        <x:v>mask</x:v>
      </x:c>
      <x:c r="C185" s="26" t="n">
        <x:v>175</x:v>
      </x:c>
      <x:c r="D185" s="24" t="str">
        <x:v>Lot 12 (master)</x:v>
      </x:c>
      <x:c r="E185" s="25" t="str">
        <x:v>Objets</x:v>
      </x:c>
      <x:c r="F185" s="24" t="str">
        <x:f>IF(AND(G185=8,COUNTIF(Q185:V185,"Atlas")=6),"Intégré","À faire")</x:f>
        <x:v>Intégré</x:v>
      </x:c>
      <x:c r="G185" s="27" t="n">
        <x:f>COUNTIF(I185:P185,"Présent")</x:f>
        <x:v>8</x:v>
      </x:c>
      <x:c r="H185" s="24" t="str">
        <x:v>Archive Drive</x:v>
      </x:c>
      <x:c r="I185" s="24" t="str">
        <x:v>Présent</x:v>
      </x:c>
      <x:c r="J185" s="24" t="str">
        <x:v>Présent</x:v>
      </x:c>
      <x:c r="K185" s="24" t="str">
        <x:v>Présent</x:v>
      </x:c>
      <x:c r="L185" s="24" t="str">
        <x:v>Présent</x:v>
      </x:c>
      <x:c r="M185" s="24" t="str">
        <x:v>Présent</x:v>
      </x:c>
      <x:c r="N185" s="24" t="str">
        <x:v>Présent</x:v>
      </x:c>
      <x:c r="O185" s="24" t="str">
        <x:v>Présent</x:v>
      </x:c>
      <x:c r="P185" s="24" t="str">
        <x:v>Présent</x:v>
      </x:c>
      <x:c r="Q185" s="24" t="str">
        <x:v>Atlas</x:v>
      </x:c>
      <x:c r="R185" s="24" t="str">
        <x:v>Atlas</x:v>
      </x:c>
      <x:c r="S185" s="24" t="str">
        <x:v>Atlas</x:v>
      </x:c>
      <x:c r="T185" s="24" t="str">
        <x:v>Atlas</x:v>
      </x:c>
      <x:c r="U185" s="24" t="str">
        <x:v>Atlas</x:v>
      </x:c>
      <x:c r="V185" s="24" t="str">
        <x:v>Atlas</x:v>
      </x:c>
      <x:c r="W185" s="24" t="str">
        <x:v>6/6 actuelles</x:v>
      </x:c>
      <x:c r="X185" s="24" t="str">
        <x:v>6/6 actuelles</x:v>
      </x:c>
      <x:c r="Y185" s="24" t="str">
        <x:v>Non consignée</x:v>
      </x:c>
      <x:c r="Z185" s="24" t="str">
        <x:v>Périmée (0/6)</x:v>
      </x:c>
      <x:c r="AA185" s="23" t="str">
        <x:v>Validation navigateur passée. Publication exacte en attente de Thanh.</x:v>
      </x:c>
      <x:c r="AB185" s="21" t="str">
        <x:v>674f752f62b3179c8a21300c7796024f5935efc1</x:v>
      </x:c>
      <x:c r="AC185" s="21" t="str">
        <x:v>En cours</x:v>
      </x:c>
    </x:row>
    <x:row r="186" ht="40" customHeight="1">
      <x:c r="A186" s="22" t="str">
        <x:v>Médecin</x:v>
      </x:c>
      <x:c r="B186" s="22" t="str">
        <x:v>doctor</x:v>
      </x:c>
      <x:c r="C186" s="26" t="n">
        <x:v>176</x:v>
      </x:c>
      <x:c r="D186" s="24" t="str">
        <x:v>Lot 10</x:v>
      </x:c>
      <x:c r="E186" s="25" t="str">
        <x:v>Personnes</x:v>
      </x:c>
      <x:c r="F186" s="24" t="str">
        <x:f>IF(AND(G186=8,COUNTIF(Q186:V186,"Atlas")=6),"Intégré","À faire")</x:f>
        <x:v>Intégré</x:v>
      </x:c>
      <x:c r="G186" s="27" t="n">
        <x:f>COUNTIF(I186:P186,"Présent")</x:f>
        <x:v>8</x:v>
      </x:c>
      <x:c r="H186" s="24" t="str">
        <x:v>Archivé Drive</x:v>
      </x:c>
      <x:c r="I186" s="24" t="str">
        <x:v>Présent</x:v>
      </x:c>
      <x:c r="J186" s="24" t="str">
        <x:v>Présent</x:v>
      </x:c>
      <x:c r="K186" s="24" t="str">
        <x:v>Présent</x:v>
      </x:c>
      <x:c r="L186" s="24" t="str">
        <x:v>Présent</x:v>
      </x:c>
      <x:c r="M186" s="24" t="str">
        <x:v>Présent</x:v>
      </x:c>
      <x:c r="N186" s="24" t="str">
        <x:v>Présent</x:v>
      </x:c>
      <x:c r="O186" s="24" t="str">
        <x:v>Présent</x:v>
      </x:c>
      <x:c r="P186" s="24" t="str">
        <x:v>Présent</x:v>
      </x:c>
      <x:c r="Q186" s="24" t="str">
        <x:v>Atlas</x:v>
      </x:c>
      <x:c r="R186" s="24" t="str">
        <x:v>Atlas</x:v>
      </x:c>
      <x:c r="S186" s="24" t="str">
        <x:v>Atlas</x:v>
      </x:c>
      <x:c r="T186" s="24" t="str">
        <x:v>Atlas</x:v>
      </x:c>
      <x:c r="U186" s="24" t="str">
        <x:v>Atlas</x:v>
      </x:c>
      <x:c r="V186" s="24" t="str">
        <x:v>Atlas</x:v>
      </x:c>
      <x:c r="W186" s="24" t="str">
        <x:v>6/6 actuelles</x:v>
      </x:c>
      <x:c r="X186" s="24" t="str">
        <x:v>6/6 actuelles</x:v>
      </x:c>
      <x:c r="Y186" s="24" t="str">
        <x:v>Non consignée</x:v>
      </x:c>
      <x:c r="Z186" s="24" t="str">
        <x:v>Périmée (0/6)</x:v>
      </x:c>
      <x:c r="AA186" s="23" t="str">
        <x:v>Validation navigateur passée. Publication exacte en attente de Thanh.</x:v>
      </x:c>
      <x:c r="AB186" s="21" t="str">
        <x:v>674f752f62b3179c8a21300c7796024f5935efc1</x:v>
      </x:c>
      <x:c r="AC186" s="21" t="str">
        <x:v>En cours</x:v>
      </x:c>
    </x:row>
    <x:row r="187" ht="40" customHeight="1">
      <x:c r="A187" s="22" t="str">
        <x:v>Mère</x:v>
      </x:c>
      <x:c r="B187" s="22" t="str">
        <x:v>mother</x:v>
      </x:c>
      <x:c r="C187" s="26" t="n">
        <x:v>177</x:v>
      </x:c>
      <x:c r="D187" s="24" t="str">
        <x:v>Lot 10</x:v>
      </x:c>
      <x:c r="E187" s="25" t="str">
        <x:v>Personnes</x:v>
      </x:c>
      <x:c r="F187" s="24" t="str">
        <x:f>IF(AND(G187=8,COUNTIF(Q187:V187,"Atlas")=6),"Intégré","À faire")</x:f>
        <x:v>Intégré</x:v>
      </x:c>
      <x:c r="G187" s="27" t="n">
        <x:f>COUNTIF(I187:P187,"Présent")</x:f>
        <x:v>8</x:v>
      </x:c>
      <x:c r="H187" s="24" t="str">
        <x:v>Archivé Drive</x:v>
      </x:c>
      <x:c r="I187" s="24" t="str">
        <x:v>Présent</x:v>
      </x:c>
      <x:c r="J187" s="24" t="str">
        <x:v>Présent</x:v>
      </x:c>
      <x:c r="K187" s="24" t="str">
        <x:v>Présent</x:v>
      </x:c>
      <x:c r="L187" s="24" t="str">
        <x:v>Présent</x:v>
      </x:c>
      <x:c r="M187" s="24" t="str">
        <x:v>Présent</x:v>
      </x:c>
      <x:c r="N187" s="24" t="str">
        <x:v>Présent</x:v>
      </x:c>
      <x:c r="O187" s="24" t="str">
        <x:v>Présent</x:v>
      </x:c>
      <x:c r="P187" s="24" t="str">
        <x:v>Présent</x:v>
      </x:c>
      <x:c r="Q187" s="24" t="str">
        <x:v>Atlas</x:v>
      </x:c>
      <x:c r="R187" s="24" t="str">
        <x:v>Atlas</x:v>
      </x:c>
      <x:c r="S187" s="24" t="str">
        <x:v>Atlas</x:v>
      </x:c>
      <x:c r="T187" s="24" t="str">
        <x:v>Atlas</x:v>
      </x:c>
      <x:c r="U187" s="24" t="str">
        <x:v>Atlas</x:v>
      </x:c>
      <x:c r="V187" s="24" t="str">
        <x:v>Atlas</x:v>
      </x:c>
      <x:c r="W187" s="24" t="str">
        <x:v>6/6 actuelles</x:v>
      </x:c>
      <x:c r="X187" s="24" t="str">
        <x:v>6/6 actuelles</x:v>
      </x:c>
      <x:c r="Y187" s="24" t="str">
        <x:v>Non consignée</x:v>
      </x:c>
      <x:c r="Z187" s="24" t="str">
        <x:v>Périmée (0/6)</x:v>
      </x:c>
      <x:c r="AA187" s="23" t="str">
        <x:v>Validation navigateur passée. Publication exacte en attente de Thanh.</x:v>
      </x:c>
      <x:c r="AB187" s="21" t="str">
        <x:v>674f752f62b3179c8a21300c7796024f5935efc1</x:v>
      </x:c>
      <x:c r="AC187" s="21" t="str">
        <x:v>En cours</x:v>
      </x:c>
    </x:row>
    <x:row r="188" ht="40" customHeight="1">
      <x:c r="A188" s="22" t="str">
        <x:v>Monstre</x:v>
      </x:c>
      <x:c r="B188" s="22" t="str">
        <x:v>monster</x:v>
      </x:c>
      <x:c r="C188" s="26" t="n">
        <x:v>178</x:v>
      </x:c>
      <x:c r="D188" s="24" t="str">
        <x:v>Lot 11</x:v>
      </x:c>
      <x:c r="E188" s="25" t="str">
        <x:v>Personnes</x:v>
      </x:c>
      <x:c r="F188" s="24" t="str">
        <x:f>IF(AND(G188=8,COUNTIF(Q188:V188,"Atlas")=6),"Intégré","À faire")</x:f>
        <x:v>Intégré</x:v>
      </x:c>
      <x:c r="G188" s="27" t="n">
        <x:f>COUNTIF(I188:P188,"Présent")</x:f>
        <x:v>8</x:v>
      </x:c>
      <x:c r="H188" s="24" t="str">
        <x:v>Archivé Drive</x:v>
      </x:c>
      <x:c r="I188" s="24" t="str">
        <x:v>Présent</x:v>
      </x:c>
      <x:c r="J188" s="24" t="str">
        <x:v>Présent</x:v>
      </x:c>
      <x:c r="K188" s="24" t="str">
        <x:v>Présent</x:v>
      </x:c>
      <x:c r="L188" s="24" t="str">
        <x:v>Présent</x:v>
      </x:c>
      <x:c r="M188" s="24" t="str">
        <x:v>Présent</x:v>
      </x:c>
      <x:c r="N188" s="24" t="str">
        <x:v>Présent</x:v>
      </x:c>
      <x:c r="O188" s="24" t="str">
        <x:v>Présent</x:v>
      </x:c>
      <x:c r="P188" s="24" t="str">
        <x:v>Présent</x:v>
      </x:c>
      <x:c r="Q188" s="24" t="str">
        <x:v>Atlas</x:v>
      </x:c>
      <x:c r="R188" s="24" t="str">
        <x:v>Atlas</x:v>
      </x:c>
      <x:c r="S188" s="24" t="str">
        <x:v>Atlas</x:v>
      </x:c>
      <x:c r="T188" s="24" t="str">
        <x:v>Atlas</x:v>
      </x:c>
      <x:c r="U188" s="24" t="str">
        <x:v>Atlas</x:v>
      </x:c>
      <x:c r="V188" s="24" t="str">
        <x:v>Atlas</x:v>
      </x:c>
      <x:c r="W188" s="24" t="str">
        <x:v>6/6 actuelles</x:v>
      </x:c>
      <x:c r="X188" s="24" t="str">
        <x:v>6/6 actuelles</x:v>
      </x:c>
      <x:c r="Y188" s="24" t="str">
        <x:v>Non consignée</x:v>
      </x:c>
      <x:c r="Z188" s="24" t="str">
        <x:v>Périmée (0/6)</x:v>
      </x:c>
      <x:c r="AA188" s="23" t="str">
        <x:v>Validation navigateur passée. Publication exacte en attente de Thanh.</x:v>
      </x:c>
      <x:c r="AB188" s="21" t="str">
        <x:v>674f752f62b3179c8a21300c7796024f5935efc1</x:v>
      </x:c>
      <x:c r="AC188" s="21" t="str">
        <x:v>En cours</x:v>
      </x:c>
    </x:row>
    <x:row r="189" ht="40" customHeight="1">
      <x:c r="A189" s="22" t="str">
        <x:v>Montre</x:v>
      </x:c>
      <x:c r="B189" s="22" t="str">
        <x:v>watch</x:v>
      </x:c>
      <x:c r="C189" s="26" t="n">
        <x:v>179</x:v>
      </x:c>
      <x:c r="D189" s="24" t="str">
        <x:v>Lot 11</x:v>
      </x:c>
      <x:c r="E189" s="25" t="str">
        <x:v>Objets</x:v>
      </x:c>
      <x:c r="F189" s="24" t="str">
        <x:f>IF(AND(G189=8,COUNTIF(Q189:V189,"Atlas")=6),"Intégré","À faire")</x:f>
        <x:v>Intégré</x:v>
      </x:c>
      <x:c r="G189" s="27" t="n">
        <x:f>COUNTIF(I189:P189,"Présent")</x:f>
        <x:v>8</x:v>
      </x:c>
      <x:c r="H189" s="24" t="str">
        <x:v>Archivé Drive</x:v>
      </x:c>
      <x:c r="I189" s="24" t="str">
        <x:v>Présent</x:v>
      </x:c>
      <x:c r="J189" s="24" t="str">
        <x:v>Présent</x:v>
      </x:c>
      <x:c r="K189" s="24" t="str">
        <x:v>Présent</x:v>
      </x:c>
      <x:c r="L189" s="24" t="str">
        <x:v>Présent</x:v>
      </x:c>
      <x:c r="M189" s="24" t="str">
        <x:v>Présent</x:v>
      </x:c>
      <x:c r="N189" s="24" t="str">
        <x:v>Présent</x:v>
      </x:c>
      <x:c r="O189" s="24" t="str">
        <x:v>Présent</x:v>
      </x:c>
      <x:c r="P189" s="24" t="str">
        <x:v>Présent</x:v>
      </x:c>
      <x:c r="Q189" s="24" t="str">
        <x:v>Atlas</x:v>
      </x:c>
      <x:c r="R189" s="24" t="str">
        <x:v>Atlas</x:v>
      </x:c>
      <x:c r="S189" s="24" t="str">
        <x:v>Atlas</x:v>
      </x:c>
      <x:c r="T189" s="24" t="str">
        <x:v>Atlas</x:v>
      </x:c>
      <x:c r="U189" s="24" t="str">
        <x:v>Atlas</x:v>
      </x:c>
      <x:c r="V189" s="24" t="str">
        <x:v>Atlas</x:v>
      </x:c>
      <x:c r="W189" s="24" t="str">
        <x:v>6/6 actuelles</x:v>
      </x:c>
      <x:c r="X189" s="24" t="str">
        <x:v>6/6 actuelles</x:v>
      </x:c>
      <x:c r="Y189" s="24" t="str">
        <x:v>Non consignée</x:v>
      </x:c>
      <x:c r="Z189" s="24" t="str">
        <x:v>Périmée (0/6)</x:v>
      </x:c>
      <x:c r="AA189" s="23" t="str">
        <x:v>Validation navigateur passée. Publication exacte en attente de Thanh.</x:v>
      </x:c>
      <x:c r="AB189" s="21" t="str">
        <x:v>674f752f62b3179c8a21300c7796024f5935efc1</x:v>
      </x:c>
      <x:c r="AC189" s="21" t="str">
        <x:v>En cours</x:v>
      </x:c>
    </x:row>
    <x:row r="190" ht="40" customHeight="1">
      <x:c r="A190" s="22" t="str">
        <x:v>Mort</x:v>
      </x:c>
      <x:c r="B190" s="22" t="str">
        <x:v>death</x:v>
      </x:c>
      <x:c r="C190" s="26" t="n">
        <x:v>180</x:v>
      </x:c>
      <x:c r="D190" s="24" t="str">
        <x:v>Lot 08</x:v>
      </x:c>
      <x:c r="E190" s="25" t="str">
        <x:v>Actions</x:v>
      </x:c>
      <x:c r="F190" s="24" t="str">
        <x:f>IF(AND(G190=8,COUNTIF(Q190:V190,"Atlas")=6),"Intégré","À faire")</x:f>
        <x:v>Intégré</x:v>
      </x:c>
      <x:c r="G190" s="27" t="n">
        <x:f>COUNTIF(I190:P190,"Présent")</x:f>
        <x:v>8</x:v>
      </x:c>
      <x:c r="H190" s="24" t="str">
        <x:v>Archivé Drive</x:v>
      </x:c>
      <x:c r="I190" s="24" t="str">
        <x:v>Présent</x:v>
      </x:c>
      <x:c r="J190" s="24" t="str">
        <x:v>Présent</x:v>
      </x:c>
      <x:c r="K190" s="24" t="str">
        <x:v>Présent</x:v>
      </x:c>
      <x:c r="L190" s="24" t="str">
        <x:v>Présent</x:v>
      </x:c>
      <x:c r="M190" s="24" t="str">
        <x:v>Présent</x:v>
      </x:c>
      <x:c r="N190" s="24" t="str">
        <x:v>Présent</x:v>
      </x:c>
      <x:c r="O190" s="24" t="str">
        <x:v>Présent</x:v>
      </x:c>
      <x:c r="P190" s="24" t="str">
        <x:v>Présent</x:v>
      </x:c>
      <x:c r="Q190" s="24" t="str">
        <x:v>Atlas</x:v>
      </x:c>
      <x:c r="R190" s="24" t="str">
        <x:v>Atlas</x:v>
      </x:c>
      <x:c r="S190" s="24" t="str">
        <x:v>Atlas</x:v>
      </x:c>
      <x:c r="T190" s="24" t="str">
        <x:v>Atlas</x:v>
      </x:c>
      <x:c r="U190" s="24" t="str">
        <x:v>Atlas</x:v>
      </x:c>
      <x:c r="V190" s="24" t="str">
        <x:v>Atlas</x:v>
      </x:c>
      <x:c r="W190" s="24" t="str">
        <x:v>6/6 actuelles</x:v>
      </x:c>
      <x:c r="X190" s="24" t="str">
        <x:v>6/6 actuelles</x:v>
      </x:c>
      <x:c r="Y190" s="24" t="str">
        <x:v>Non consignée</x:v>
      </x:c>
      <x:c r="Z190" s="24" t="str">
        <x:v>Périmée (0/6)</x:v>
      </x:c>
      <x:c r="AA190" s="23" t="str">
        <x:v>Validation navigateur passée. Publication exacte en attente de Thanh.</x:v>
      </x:c>
      <x:c r="AB190" s="21" t="str">
        <x:v>674f752f62b3179c8a21300c7796024f5935efc1</x:v>
      </x:c>
      <x:c r="AC190" s="21" t="str">
        <x:v>En cours</x:v>
      </x:c>
    </x:row>
    <x:row r="191" ht="40" customHeight="1">
      <x:c r="A191" s="22" t="str">
        <x:v>Nager</x:v>
      </x:c>
      <x:c r="B191" s="22" t="str">
        <x:v>swimming</x:v>
      </x:c>
      <x:c r="C191" s="26" t="n">
        <x:v>181</x:v>
      </x:c>
      <x:c r="D191" s="24" t="str">
        <x:v>Lot 08</x:v>
      </x:c>
      <x:c r="E191" s="25" t="str">
        <x:v>Actions</x:v>
      </x:c>
      <x:c r="F191" s="24" t="str">
        <x:f>IF(AND(G191=8,COUNTIF(Q191:V191,"Atlas")=6),"Intégré","À faire")</x:f>
        <x:v>Intégré</x:v>
      </x:c>
      <x:c r="G191" s="27" t="n">
        <x:f>COUNTIF(I191:P191,"Présent")</x:f>
        <x:v>8</x:v>
      </x:c>
      <x:c r="H191" s="24" t="str">
        <x:v>Archivé Drive</x:v>
      </x:c>
      <x:c r="I191" s="24" t="str">
        <x:v>Présent</x:v>
      </x:c>
      <x:c r="J191" s="24" t="str">
        <x:v>Présent</x:v>
      </x:c>
      <x:c r="K191" s="24" t="str">
        <x:v>Présent</x:v>
      </x:c>
      <x:c r="L191" s="24" t="str">
        <x:v>Présent</x:v>
      </x:c>
      <x:c r="M191" s="24" t="str">
        <x:v>Présent</x:v>
      </x:c>
      <x:c r="N191" s="24" t="str">
        <x:v>Présent</x:v>
      </x:c>
      <x:c r="O191" s="24" t="str">
        <x:v>Présent</x:v>
      </x:c>
      <x:c r="P191" s="24" t="str">
        <x:v>Présent</x:v>
      </x:c>
      <x:c r="Q191" s="24" t="str">
        <x:v>Atlas</x:v>
      </x:c>
      <x:c r="R191" s="24" t="str">
        <x:v>Atlas</x:v>
      </x:c>
      <x:c r="S191" s="24" t="str">
        <x:v>Atlas</x:v>
      </x:c>
      <x:c r="T191" s="24" t="str">
        <x:v>Atlas</x:v>
      </x:c>
      <x:c r="U191" s="24" t="str">
        <x:v>Atlas</x:v>
      </x:c>
      <x:c r="V191" s="24" t="str">
        <x:v>Atlas</x:v>
      </x:c>
      <x:c r="W191" s="24" t="str">
        <x:v>6/6 actuelles</x:v>
      </x:c>
      <x:c r="X191" s="24" t="str">
        <x:v>6/6 actuelles</x:v>
      </x:c>
      <x:c r="Y191" s="24" t="str">
        <x:v>Non consignée</x:v>
      </x:c>
      <x:c r="Z191" s="24" t="str">
        <x:v>Périmée (0/6)</x:v>
      </x:c>
      <x:c r="AA191" s="23" t="str">
        <x:v>Validation navigateur passée. Publication exacte en attente de Thanh.</x:v>
      </x:c>
      <x:c r="AB191" s="21" t="str">
        <x:v>674f752f62b3179c8a21300c7796024f5935efc1</x:v>
      </x:c>
      <x:c r="AC191" s="21" t="str">
        <x:v>En cours</x:v>
      </x:c>
    </x:row>
    <x:row r="192" ht="40" customHeight="1">
      <x:c r="A192" s="22" t="str">
        <x:v>Naissance</x:v>
      </x:c>
      <x:c r="B192" s="22" t="str">
        <x:v>birth</x:v>
      </x:c>
      <x:c r="C192" s="26" t="n">
        <x:v>182</x:v>
      </x:c>
      <x:c r="D192" s="24" t="str">
        <x:v>Lot 10</x:v>
      </x:c>
      <x:c r="E192" s="25" t="str">
        <x:v>Actions</x:v>
      </x:c>
      <x:c r="F192" s="24" t="str">
        <x:f>IF(AND(G192=8,COUNTIF(Q192:V192,"Atlas")=6),"Intégré","À faire")</x:f>
        <x:v>Intégré</x:v>
      </x:c>
      <x:c r="G192" s="27" t="n">
        <x:f>COUNTIF(I192:P192,"Présent")</x:f>
        <x:v>8</x:v>
      </x:c>
      <x:c r="H192" s="24" t="str">
        <x:v>Archivé Drive</x:v>
      </x:c>
      <x:c r="I192" s="24" t="str">
        <x:v>Présent</x:v>
      </x:c>
      <x:c r="J192" s="24" t="str">
        <x:v>Présent</x:v>
      </x:c>
      <x:c r="K192" s="24" t="str">
        <x:v>Présent</x:v>
      </x:c>
      <x:c r="L192" s="24" t="str">
        <x:v>Présent</x:v>
      </x:c>
      <x:c r="M192" s="24" t="str">
        <x:v>Présent</x:v>
      </x:c>
      <x:c r="N192" s="24" t="str">
        <x:v>Présent</x:v>
      </x:c>
      <x:c r="O192" s="24" t="str">
        <x:v>Présent</x:v>
      </x:c>
      <x:c r="P192" s="24" t="str">
        <x:v>Présent</x:v>
      </x:c>
      <x:c r="Q192" s="24" t="str">
        <x:v>Atlas</x:v>
      </x:c>
      <x:c r="R192" s="24" t="str">
        <x:v>Atlas</x:v>
      </x:c>
      <x:c r="S192" s="24" t="str">
        <x:v>Atlas</x:v>
      </x:c>
      <x:c r="T192" s="24" t="str">
        <x:v>Atlas</x:v>
      </x:c>
      <x:c r="U192" s="24" t="str">
        <x:v>Atlas</x:v>
      </x:c>
      <x:c r="V192" s="24" t="str">
        <x:v>Atlas</x:v>
      </x:c>
      <x:c r="W192" s="24" t="str">
        <x:v>6/6 actuelles</x:v>
      </x:c>
      <x:c r="X192" s="24" t="str">
        <x:v>6/6 actuelles</x:v>
      </x:c>
      <x:c r="Y192" s="24" t="str">
        <x:v>Non consignée</x:v>
      </x:c>
      <x:c r="Z192" s="24" t="str">
        <x:v>Périmée (0/6)</x:v>
      </x:c>
      <x:c r="AA192" s="23" t="str">
        <x:v>Validation navigateur passée. Publication exacte en attente de Thanh.</x:v>
      </x:c>
      <x:c r="AB192" s="21" t="str">
        <x:v>674f752f62b3179c8a21300c7796024f5935efc1</x:v>
      </x:c>
      <x:c r="AC192" s="21" t="str">
        <x:v>En cours</x:v>
      </x:c>
    </x:row>
    <x:row r="193" ht="40" customHeight="1">
      <x:c r="A193" s="22" t="str">
        <x:v>Noyade</x:v>
      </x:c>
      <x:c r="B193" s="22" t="str">
        <x:v>drowning</x:v>
      </x:c>
      <x:c r="C193" s="26" t="n">
        <x:v>183</x:v>
      </x:c>
      <x:c r="D193" s="24" t="str">
        <x:v>Lot 11</x:v>
      </x:c>
      <x:c r="E193" s="25" t="str">
        <x:v>Actions</x:v>
      </x:c>
      <x:c r="F193" s="24" t="str">
        <x:f>IF(AND(G193=8,COUNTIF(Q193:V193,"Atlas")=6),"Intégré","À faire")</x:f>
        <x:v>Intégré</x:v>
      </x:c>
      <x:c r="G193" s="27" t="n">
        <x:f>COUNTIF(I193:P193,"Présent")</x:f>
        <x:v>8</x:v>
      </x:c>
      <x:c r="H193" s="24" t="str">
        <x:v>Archivé Drive</x:v>
      </x:c>
      <x:c r="I193" s="24" t="str">
        <x:v>Présent</x:v>
      </x:c>
      <x:c r="J193" s="24" t="str">
        <x:v>Présent</x:v>
      </x:c>
      <x:c r="K193" s="24" t="str">
        <x:v>Présent</x:v>
      </x:c>
      <x:c r="L193" s="24" t="str">
        <x:v>Présent</x:v>
      </x:c>
      <x:c r="M193" s="24" t="str">
        <x:v>Présent</x:v>
      </x:c>
      <x:c r="N193" s="24" t="str">
        <x:v>Présent</x:v>
      </x:c>
      <x:c r="O193" s="24" t="str">
        <x:v>Présent</x:v>
      </x:c>
      <x:c r="P193" s="24" t="str">
        <x:v>Présent</x:v>
      </x:c>
      <x:c r="Q193" s="24" t="str">
        <x:v>Atlas</x:v>
      </x:c>
      <x:c r="R193" s="24" t="str">
        <x:v>Atlas</x:v>
      </x:c>
      <x:c r="S193" s="24" t="str">
        <x:v>Atlas</x:v>
      </x:c>
      <x:c r="T193" s="24" t="str">
        <x:v>Atlas</x:v>
      </x:c>
      <x:c r="U193" s="24" t="str">
        <x:v>Atlas</x:v>
      </x:c>
      <x:c r="V193" s="24" t="str">
        <x:v>Atlas</x:v>
      </x:c>
      <x:c r="W193" s="24" t="str">
        <x:v>6/6 actuelles</x:v>
      </x:c>
      <x:c r="X193" s="24" t="str">
        <x:v>6/6 actuelles</x:v>
      </x:c>
      <x:c r="Y193" s="24" t="str">
        <x:v>Non consignée</x:v>
      </x:c>
      <x:c r="Z193" s="24" t="str">
        <x:v>Périmée (0/6)</x:v>
      </x:c>
      <x:c r="AA193" s="23" t="str">
        <x:v>Validation navigateur passée. Publication exacte en attente de Thanh.</x:v>
      </x:c>
      <x:c r="AB193" s="21" t="str">
        <x:v>674f752f62b3179c8a21300c7796024f5935efc1</x:v>
      </x:c>
      <x:c r="AC193" s="21" t="str">
        <x:v>En cours</x:v>
      </x:c>
    </x:row>
    <x:row r="194" ht="40" customHeight="1">
      <x:c r="A194" s="22" t="str">
        <x:v>Nudité</x:v>
      </x:c>
      <x:c r="B194" s="22" t="str">
        <x:v>nudity</x:v>
      </x:c>
      <x:c r="C194" s="26" t="n">
        <x:v>184</x:v>
      </x:c>
      <x:c r="D194" s="24" t="str">
        <x:v>Lot 08</x:v>
      </x:c>
      <x:c r="E194" s="25" t="str">
        <x:v>Corps</x:v>
      </x:c>
      <x:c r="F194" s="24" t="str">
        <x:f>IF(AND(G194=8,COUNTIF(Q194:V194,"Atlas")=6),"Intégré","À faire")</x:f>
        <x:v>Intégré</x:v>
      </x:c>
      <x:c r="G194" s="27" t="n">
        <x:f>COUNTIF(I194:P194,"Présent")</x:f>
        <x:v>8</x:v>
      </x:c>
      <x:c r="H194" s="24" t="str">
        <x:v>Archivé Drive</x:v>
      </x:c>
      <x:c r="I194" s="24" t="str">
        <x:v>Présent</x:v>
      </x:c>
      <x:c r="J194" s="24" t="str">
        <x:v>Présent</x:v>
      </x:c>
      <x:c r="K194" s="24" t="str">
        <x:v>Présent</x:v>
      </x:c>
      <x:c r="L194" s="24" t="str">
        <x:v>Présent</x:v>
      </x:c>
      <x:c r="M194" s="24" t="str">
        <x:v>Présent</x:v>
      </x:c>
      <x:c r="N194" s="24" t="str">
        <x:v>Présent</x:v>
      </x:c>
      <x:c r="O194" s="24" t="str">
        <x:v>Présent</x:v>
      </x:c>
      <x:c r="P194" s="24" t="str">
        <x:v>Présent</x:v>
      </x:c>
      <x:c r="Q194" s="24" t="str">
        <x:v>Atlas</x:v>
      </x:c>
      <x:c r="R194" s="24" t="str">
        <x:v>Atlas</x:v>
      </x:c>
      <x:c r="S194" s="24" t="str">
        <x:v>Atlas</x:v>
      </x:c>
      <x:c r="T194" s="24" t="str">
        <x:v>Atlas</x:v>
      </x:c>
      <x:c r="U194" s="24" t="str">
        <x:v>Atlas</x:v>
      </x:c>
      <x:c r="V194" s="24" t="str">
        <x:v>Atlas</x:v>
      </x:c>
      <x:c r="W194" s="24" t="str">
        <x:v>6/6 actuelles</x:v>
      </x:c>
      <x:c r="X194" s="24" t="str">
        <x:v>6/6 actuelles</x:v>
      </x:c>
      <x:c r="Y194" s="24" t="str">
        <x:v>Non consignée</x:v>
      </x:c>
      <x:c r="Z194" s="24" t="str">
        <x:v>Périmée (0/6)</x:v>
      </x:c>
      <x:c r="AA194" s="23" t="str">
        <x:v>Validation navigateur passée. Publication exacte en attente de Thanh.</x:v>
      </x:c>
      <x:c r="AB194" s="21" t="str">
        <x:v>674f752f62b3179c8a21300c7796024f5935efc1</x:v>
      </x:c>
      <x:c r="AC194" s="21" t="str">
        <x:v>En cours</x:v>
      </x:c>
    </x:row>
    <x:row r="195" ht="40" customHeight="1">
      <x:c r="A195" s="22" t="str">
        <x:v>Nuit / Obscurité</x:v>
      </x:c>
      <x:c r="B195" s="22" t="str">
        <x:v>night</x:v>
      </x:c>
      <x:c r="C195" s="26" t="n">
        <x:v>185</x:v>
      </x:c>
      <x:c r="D195" s="24" t="str">
        <x:v>Lot 08</x:v>
      </x:c>
      <x:c r="E195" s="25" t="str">
        <x:v>Ciel</x:v>
      </x:c>
      <x:c r="F195" s="24" t="str">
        <x:f>IF(AND(G195=8,COUNTIF(Q195:V195,"Atlas")=6),"Intégré","À faire")</x:f>
        <x:v>Intégré</x:v>
      </x:c>
      <x:c r="G195" s="27" t="n">
        <x:f>COUNTIF(I195:P195,"Présent")</x:f>
        <x:v>8</x:v>
      </x:c>
      <x:c r="H195" s="24" t="str">
        <x:v>Archivé Drive</x:v>
      </x:c>
      <x:c r="I195" s="24" t="str">
        <x:v>Présent</x:v>
      </x:c>
      <x:c r="J195" s="24" t="str">
        <x:v>Présent</x:v>
      </x:c>
      <x:c r="K195" s="24" t="str">
        <x:v>Présent</x:v>
      </x:c>
      <x:c r="L195" s="24" t="str">
        <x:v>Présent</x:v>
      </x:c>
      <x:c r="M195" s="24" t="str">
        <x:v>Présent</x:v>
      </x:c>
      <x:c r="N195" s="24" t="str">
        <x:v>Présent</x:v>
      </x:c>
      <x:c r="O195" s="24" t="str">
        <x:v>Présent</x:v>
      </x:c>
      <x:c r="P195" s="24" t="str">
        <x:v>Présent</x:v>
      </x:c>
      <x:c r="Q195" s="24" t="str">
        <x:v>Atlas</x:v>
      </x:c>
      <x:c r="R195" s="24" t="str">
        <x:v>Atlas</x:v>
      </x:c>
      <x:c r="S195" s="24" t="str">
        <x:v>Atlas</x:v>
      </x:c>
      <x:c r="T195" s="24" t="str">
        <x:v>Atlas</x:v>
      </x:c>
      <x:c r="U195" s="24" t="str">
        <x:v>Atlas</x:v>
      </x:c>
      <x:c r="V195" s="24" t="str">
        <x:v>Atlas</x:v>
      </x:c>
      <x:c r="W195" s="24" t="str">
        <x:v>6/6 actuelles</x:v>
      </x:c>
      <x:c r="X195" s="24" t="str">
        <x:v>6/6 actuelles</x:v>
      </x:c>
      <x:c r="Y195" s="24" t="str">
        <x:v>Non consignée</x:v>
      </x:c>
      <x:c r="Z195" s="24" t="str">
        <x:v>Périmée (0/6)</x:v>
      </x:c>
      <x:c r="AA195" s="23" t="str">
        <x:v>Validation navigateur passée. Publication exacte en attente de Thanh.</x:v>
      </x:c>
      <x:c r="AB195" s="21" t="str">
        <x:v>674f752f62b3179c8a21300c7796024f5935efc1</x:v>
      </x:c>
      <x:c r="AC195" s="21" t="str">
        <x:v>En cours</x:v>
      </x:c>
    </x:row>
    <x:row r="196" ht="40" customHeight="1">
      <x:c r="A196" s="22" t="str">
        <x:v>Ombre</x:v>
      </x:c>
      <x:c r="B196" s="22" t="str">
        <x:v>shadow</x:v>
      </x:c>
      <x:c r="C196" s="26" t="n">
        <x:v>186</x:v>
      </x:c>
      <x:c r="D196" s="24" t="str">
        <x:v>Lot 11</x:v>
      </x:c>
      <x:c r="E196" s="25" t="str">
        <x:v>Personnes</x:v>
      </x:c>
      <x:c r="F196" s="24" t="str">
        <x:f>IF(AND(G196=8,COUNTIF(Q196:V196,"Atlas")=6),"Intégré","À faire")</x:f>
        <x:v>Intégré</x:v>
      </x:c>
      <x:c r="G196" s="27" t="n">
        <x:f>COUNTIF(I196:P196,"Présent")</x:f>
        <x:v>8</x:v>
      </x:c>
      <x:c r="H196" s="24" t="str">
        <x:v>Archivé Drive</x:v>
      </x:c>
      <x:c r="I196" s="24" t="str">
        <x:v>Présent</x:v>
      </x:c>
      <x:c r="J196" s="24" t="str">
        <x:v>Présent</x:v>
      </x:c>
      <x:c r="K196" s="24" t="str">
        <x:v>Présent</x:v>
      </x:c>
      <x:c r="L196" s="24" t="str">
        <x:v>Présent</x:v>
      </x:c>
      <x:c r="M196" s="24" t="str">
        <x:v>Présent</x:v>
      </x:c>
      <x:c r="N196" s="24" t="str">
        <x:v>Présent</x:v>
      </x:c>
      <x:c r="O196" s="24" t="str">
        <x:v>Présent</x:v>
      </x:c>
      <x:c r="P196" s="24" t="str">
        <x:v>Présent</x:v>
      </x:c>
      <x:c r="Q196" s="24" t="str">
        <x:v>Atlas</x:v>
      </x:c>
      <x:c r="R196" s="24" t="str">
        <x:v>Atlas</x:v>
      </x:c>
      <x:c r="S196" s="24" t="str">
        <x:v>Atlas</x:v>
      </x:c>
      <x:c r="T196" s="24" t="str">
        <x:v>Atlas</x:v>
      </x:c>
      <x:c r="U196" s="24" t="str">
        <x:v>Atlas</x:v>
      </x:c>
      <x:c r="V196" s="24" t="str">
        <x:v>Atlas</x:v>
      </x:c>
      <x:c r="W196" s="24" t="str">
        <x:v>6/6 actuelles</x:v>
      </x:c>
      <x:c r="X196" s="24" t="str">
        <x:v>6/6 actuelles</x:v>
      </x:c>
      <x:c r="Y196" s="24" t="str">
        <x:v>Non consignée</x:v>
      </x:c>
      <x:c r="Z196" s="24" t="str">
        <x:v>Périmée (0/6)</x:v>
      </x:c>
      <x:c r="AA196" s="23" t="str">
        <x:v>Validation navigateur passée. Publication exacte en attente de Thanh.</x:v>
      </x:c>
      <x:c r="AB196" s="21" t="str">
        <x:v>674f752f62b3179c8a21300c7796024f5935efc1</x:v>
      </x:c>
      <x:c r="AC196" s="21" t="str">
        <x:v>En cours</x:v>
      </x:c>
    </x:row>
    <x:row r="197" ht="40" customHeight="1">
      <x:c r="A197" s="22" t="str">
        <x:v>Or</x:v>
      </x:c>
      <x:c r="B197" s="22" t="str">
        <x:v>gold</x:v>
      </x:c>
      <x:c r="C197" s="26" t="n">
        <x:v>187</x:v>
      </x:c>
      <x:c r="D197" s="24" t="str">
        <x:v>Lot 14</x:v>
      </x:c>
      <x:c r="E197" s="25" t="str">
        <x:v>Objets</x:v>
      </x:c>
      <x:c r="F197" s="24" t="str">
        <x:f>IF(AND(G197=8,COUNTIF(Q197:V197,"Atlas")=6),"Intégré","À faire")</x:f>
        <x:v>Intégré</x:v>
      </x:c>
      <x:c r="G197" s="27" t="n">
        <x:f>COUNTIF(I197:P197,"Présent")</x:f>
        <x:v>8</x:v>
      </x:c>
      <x:c r="H197" s="24" t="str">
        <x:v>Archivé Drive</x:v>
      </x:c>
      <x:c r="I197" s="24" t="str">
        <x:v>Présent</x:v>
      </x:c>
      <x:c r="J197" s="24" t="str">
        <x:v>Présent</x:v>
      </x:c>
      <x:c r="K197" s="24" t="str">
        <x:v>Présent</x:v>
      </x:c>
      <x:c r="L197" s="24" t="str">
        <x:v>Présent</x:v>
      </x:c>
      <x:c r="M197" s="24" t="str">
        <x:v>Présent</x:v>
      </x:c>
      <x:c r="N197" s="24" t="str">
        <x:v>Présent</x:v>
      </x:c>
      <x:c r="O197" s="24" t="str">
        <x:v>Présent</x:v>
      </x:c>
      <x:c r="P197" s="24" t="str">
        <x:v>Présent</x:v>
      </x:c>
      <x:c r="Q197" s="24" t="str">
        <x:v>Atlas</x:v>
      </x:c>
      <x:c r="R197" s="24" t="str">
        <x:v>Atlas</x:v>
      </x:c>
      <x:c r="S197" s="24" t="str">
        <x:v>Atlas</x:v>
      </x:c>
      <x:c r="T197" s="24" t="str">
        <x:v>Atlas</x:v>
      </x:c>
      <x:c r="U197" s="24" t="str">
        <x:v>Atlas</x:v>
      </x:c>
      <x:c r="V197" s="24" t="str">
        <x:v>Atlas</x:v>
      </x:c>
      <x:c r="W197" s="24" t="str">
        <x:v>6/6 actuelles</x:v>
      </x:c>
      <x:c r="X197" s="24" t="str">
        <x:v>6/6 actuelles</x:v>
      </x:c>
      <x:c r="Y197" s="24" t="str">
        <x:v>Non consignée</x:v>
      </x:c>
      <x:c r="Z197" s="24" t="str">
        <x:v>Périmée (0/6)</x:v>
      </x:c>
      <x:c r="AA197" s="23" t="str">
        <x:v>Validation navigateur passée. Publication exacte en attente de Thanh.</x:v>
      </x:c>
      <x:c r="AB197" s="21" t="str">
        <x:v>674f752f62b3179c8a21300c7796024f5935efc1</x:v>
      </x:c>
      <x:c r="AC197" s="21" t="str">
        <x:v>En cours</x:v>
      </x:c>
    </x:row>
    <x:row r="198" ht="40" customHeight="1">
      <x:c r="A198" s="22" t="str">
        <x:v>Ours</x:v>
      </x:c>
      <x:c r="B198" s="22" t="str">
        <x:v>bear</x:v>
      </x:c>
      <x:c r="C198" s="26" t="n">
        <x:v>188</x:v>
      </x:c>
      <x:c r="D198" s="24" t="str">
        <x:v>Lot 12</x:v>
      </x:c>
      <x:c r="E198" s="25" t="str">
        <x:v>Animaux</x:v>
      </x:c>
      <x:c r="F198" s="24" t="str">
        <x:f>IF(AND(G198=8,COUNTIF(Q198:V198,"Atlas")=6),"Intégré","À faire")</x:f>
        <x:v>Intégré</x:v>
      </x:c>
      <x:c r="G198" s="27" t="n">
        <x:f>COUNTIF(I198:P198,"Présent")</x:f>
        <x:v>8</x:v>
      </x:c>
      <x:c r="H198" s="24" t="str">
        <x:v>Archivé Drive</x:v>
      </x:c>
      <x:c r="I198" s="24" t="str">
        <x:v>Présent</x:v>
      </x:c>
      <x:c r="J198" s="24" t="str">
        <x:v>Présent</x:v>
      </x:c>
      <x:c r="K198" s="24" t="str">
        <x:v>Présent</x:v>
      </x:c>
      <x:c r="L198" s="24" t="str">
        <x:v>Présent</x:v>
      </x:c>
      <x:c r="M198" s="24" t="str">
        <x:v>Présent</x:v>
      </x:c>
      <x:c r="N198" s="24" t="str">
        <x:v>Présent</x:v>
      </x:c>
      <x:c r="O198" s="24" t="str">
        <x:v>Présent</x:v>
      </x:c>
      <x:c r="P198" s="24" t="str">
        <x:v>Présent</x:v>
      </x:c>
      <x:c r="Q198" s="24" t="str">
        <x:v>Atlas</x:v>
      </x:c>
      <x:c r="R198" s="24" t="str">
        <x:v>Atlas</x:v>
      </x:c>
      <x:c r="S198" s="24" t="str">
        <x:v>Atlas</x:v>
      </x:c>
      <x:c r="T198" s="24" t="str">
        <x:v>Atlas</x:v>
      </x:c>
      <x:c r="U198" s="24" t="str">
        <x:v>Atlas</x:v>
      </x:c>
      <x:c r="V198" s="24" t="str">
        <x:v>Atlas</x:v>
      </x:c>
      <x:c r="W198" s="24" t="str">
        <x:v>6/6 actuelles</x:v>
      </x:c>
      <x:c r="X198" s="24" t="str">
        <x:v>6/6 actuelles</x:v>
      </x:c>
      <x:c r="Y198" s="24" t="str">
        <x:v>Non consignée</x:v>
      </x:c>
      <x:c r="Z198" s="24" t="str">
        <x:v>Périmée (0/6)</x:v>
      </x:c>
      <x:c r="AA198" s="23" t="str">
        <x:v>Validation navigateur passée. Publication exacte en attente de Thanh.</x:v>
      </x:c>
      <x:c r="AB198" s="21" t="str">
        <x:v>674f752f62b3179c8a21300c7796024f5935efc1</x:v>
      </x:c>
      <x:c r="AC198" s="21" t="str">
        <x:v>En cours</x:v>
      </x:c>
    </x:row>
    <x:row r="199" ht="40" customHeight="1">
      <x:c r="A199" s="22" t="str">
        <x:v>Paralysie</x:v>
      </x:c>
      <x:c r="B199" s="22" t="str">
        <x:v>paralysis</x:v>
      </x:c>
      <x:c r="C199" s="26" t="n">
        <x:v>189</x:v>
      </x:c>
      <x:c r="D199" s="24" t="str">
        <x:v>Lot 11</x:v>
      </x:c>
      <x:c r="E199" s="25" t="str">
        <x:v>Actions</x:v>
      </x:c>
      <x:c r="F199" s="24" t="str">
        <x:f>IF(AND(G199=8,COUNTIF(Q199:V199,"Atlas")=6),"Intégré","À faire")</x:f>
        <x:v>Intégré</x:v>
      </x:c>
      <x:c r="G199" s="27" t="n">
        <x:f>COUNTIF(I199:P199,"Présent")</x:f>
        <x:v>8</x:v>
      </x:c>
      <x:c r="H199" s="24" t="str">
        <x:v>Archivé Drive</x:v>
      </x:c>
      <x:c r="I199" s="24" t="str">
        <x:v>Présent</x:v>
      </x:c>
      <x:c r="J199" s="24" t="str">
        <x:v>Présent</x:v>
      </x:c>
      <x:c r="K199" s="24" t="str">
        <x:v>Présent</x:v>
      </x:c>
      <x:c r="L199" s="24" t="str">
        <x:v>Présent</x:v>
      </x:c>
      <x:c r="M199" s="24" t="str">
        <x:v>Présent</x:v>
      </x:c>
      <x:c r="N199" s="24" t="str">
        <x:v>Présent</x:v>
      </x:c>
      <x:c r="O199" s="24" t="str">
        <x:v>Présent</x:v>
      </x:c>
      <x:c r="P199" s="24" t="str">
        <x:v>Présent</x:v>
      </x:c>
      <x:c r="Q199" s="24" t="str">
        <x:v>Atlas</x:v>
      </x:c>
      <x:c r="R199" s="24" t="str">
        <x:v>Atlas</x:v>
      </x:c>
      <x:c r="S199" s="24" t="str">
        <x:v>Atlas</x:v>
      </x:c>
      <x:c r="T199" s="24" t="str">
        <x:v>Atlas</x:v>
      </x:c>
      <x:c r="U199" s="24" t="str">
        <x:v>Atlas</x:v>
      </x:c>
      <x:c r="V199" s="24" t="str">
        <x:v>Atlas</x:v>
      </x:c>
      <x:c r="W199" s="24" t="str">
        <x:v>6/6 actuelles</x:v>
      </x:c>
      <x:c r="X199" s="24" t="str">
        <x:v>6/6 actuelles</x:v>
      </x:c>
      <x:c r="Y199" s="24" t="str">
        <x:v>Non consignée</x:v>
      </x:c>
      <x:c r="Z199" s="24" t="str">
        <x:v>Périmée (0/6)</x:v>
      </x:c>
      <x:c r="AA199" s="23" t="str">
        <x:v>Validation navigateur passée. Publication exacte en attente de Thanh.</x:v>
      </x:c>
      <x:c r="AB199" s="21" t="str">
        <x:v>674f752f62b3179c8a21300c7796024f5935efc1</x:v>
      </x:c>
      <x:c r="AC199" s="21" t="str">
        <x:v>En cours</x:v>
      </x:c>
    </x:row>
    <x:row r="200" ht="40" customHeight="1">
      <x:c r="A200" s="22" t="str">
        <x:v>Partenaire</x:v>
      </x:c>
      <x:c r="B200" s="22" t="str">
        <x:v>partner</x:v>
      </x:c>
      <x:c r="C200" s="26" t="n">
        <x:v>190</x:v>
      </x:c>
      <x:c r="D200" s="24" t="str">
        <x:v>Lot 10</x:v>
      </x:c>
      <x:c r="E200" s="25" t="str">
        <x:v>Personnes</x:v>
      </x:c>
      <x:c r="F200" s="24" t="str">
        <x:f>IF(AND(G200=8,COUNTIF(Q200:V200,"Atlas")=6),"Intégré","À faire")</x:f>
        <x:v>Intégré</x:v>
      </x:c>
      <x:c r="G200" s="27" t="n">
        <x:f>COUNTIF(I200:P200,"Présent")</x:f>
        <x:v>8</x:v>
      </x:c>
      <x:c r="H200" s="24" t="str">
        <x:v>Archivé Drive</x:v>
      </x:c>
      <x:c r="I200" s="24" t="str">
        <x:v>Présent</x:v>
      </x:c>
      <x:c r="J200" s="24" t="str">
        <x:v>Présent</x:v>
      </x:c>
      <x:c r="K200" s="24" t="str">
        <x:v>Présent</x:v>
      </x:c>
      <x:c r="L200" s="24" t="str">
        <x:v>Présent</x:v>
      </x:c>
      <x:c r="M200" s="24" t="str">
        <x:v>Présent</x:v>
      </x:c>
      <x:c r="N200" s="24" t="str">
        <x:v>Présent</x:v>
      </x:c>
      <x:c r="O200" s="24" t="str">
        <x:v>Présent</x:v>
      </x:c>
      <x:c r="P200" s="24" t="str">
        <x:v>Présent</x:v>
      </x:c>
      <x:c r="Q200" s="24" t="str">
        <x:v>Atlas</x:v>
      </x:c>
      <x:c r="R200" s="24" t="str">
        <x:v>Atlas</x:v>
      </x:c>
      <x:c r="S200" s="24" t="str">
        <x:v>Atlas</x:v>
      </x:c>
      <x:c r="T200" s="24" t="str">
        <x:v>Atlas</x:v>
      </x:c>
      <x:c r="U200" s="24" t="str">
        <x:v>Atlas</x:v>
      </x:c>
      <x:c r="V200" s="24" t="str">
        <x:v>Atlas</x:v>
      </x:c>
      <x:c r="W200" s="24" t="str">
        <x:v>6/6 actuelles</x:v>
      </x:c>
      <x:c r="X200" s="24" t="str">
        <x:v>6/6 actuelles</x:v>
      </x:c>
      <x:c r="Y200" s="24" t="str">
        <x:v>Non consignée</x:v>
      </x:c>
      <x:c r="Z200" s="24" t="str">
        <x:v>Périmée (0/6)</x:v>
      </x:c>
      <x:c r="AA200" s="23" t="str">
        <x:v>Validation navigateur passée. Publication exacte en attente de Thanh.</x:v>
      </x:c>
      <x:c r="AB200" s="21" t="str">
        <x:v>674f752f62b3179c8a21300c7796024f5935efc1</x:v>
      </x:c>
      <x:c r="AC200" s="21" t="str">
        <x:v>En cours</x:v>
      </x:c>
    </x:row>
    <x:row r="201" ht="40" customHeight="1">
      <x:c r="A201" s="22" t="str">
        <x:v>Passeport</x:v>
      </x:c>
      <x:c r="B201" s="22" t="str">
        <x:v>passport</x:v>
      </x:c>
      <x:c r="C201" s="26" t="n">
        <x:v>191</x:v>
      </x:c>
      <x:c r="D201" s="24" t="str">
        <x:v>Lot 11</x:v>
      </x:c>
      <x:c r="E201" s="25" t="str">
        <x:v>Objets</x:v>
      </x:c>
      <x:c r="F201" s="24" t="str">
        <x:f>IF(AND(G201=8,COUNTIF(Q201:V201,"Atlas")=6),"Intégré","À faire")</x:f>
        <x:v>Intégré</x:v>
      </x:c>
      <x:c r="G201" s="27" t="n">
        <x:f>COUNTIF(I201:P201,"Présent")</x:f>
        <x:v>8</x:v>
      </x:c>
      <x:c r="H201" s="24" t="str">
        <x:v>Archivé Drive</x:v>
      </x:c>
      <x:c r="I201" s="24" t="str">
        <x:v>Présent</x:v>
      </x:c>
      <x:c r="J201" s="24" t="str">
        <x:v>Présent</x:v>
      </x:c>
      <x:c r="K201" s="24" t="str">
        <x:v>Présent</x:v>
      </x:c>
      <x:c r="L201" s="24" t="str">
        <x:v>Présent</x:v>
      </x:c>
      <x:c r="M201" s="24" t="str">
        <x:v>Présent</x:v>
      </x:c>
      <x:c r="N201" s="24" t="str">
        <x:v>Présent</x:v>
      </x:c>
      <x:c r="O201" s="24" t="str">
        <x:v>Présent</x:v>
      </x:c>
      <x:c r="P201" s="24" t="str">
        <x:v>Présent</x:v>
      </x:c>
      <x:c r="Q201" s="24" t="str">
        <x:v>Atlas</x:v>
      </x:c>
      <x:c r="R201" s="24" t="str">
        <x:v>Atlas</x:v>
      </x:c>
      <x:c r="S201" s="24" t="str">
        <x:v>Atlas</x:v>
      </x:c>
      <x:c r="T201" s="24" t="str">
        <x:v>Atlas</x:v>
      </x:c>
      <x:c r="U201" s="24" t="str">
        <x:v>Atlas</x:v>
      </x:c>
      <x:c r="V201" s="24" t="str">
        <x:v>Atlas</x:v>
      </x:c>
      <x:c r="W201" s="24" t="str">
        <x:v>6/6 actuelles</x:v>
      </x:c>
      <x:c r="X201" s="24" t="str">
        <x:v>6/6 actuelles</x:v>
      </x:c>
      <x:c r="Y201" s="24" t="str">
        <x:v>Non consignée</x:v>
      </x:c>
      <x:c r="Z201" s="24" t="str">
        <x:v>Périmée (0/6)</x:v>
      </x:c>
      <x:c r="AA201" s="23" t="str">
        <x:v>Validation navigateur passée. Publication exacte en attente de Thanh.</x:v>
      </x:c>
      <x:c r="AB201" s="21" t="str">
        <x:v>674f752f62b3179c8a21300c7796024f5935efc1</x:v>
      </x:c>
      <x:c r="AC201" s="21" t="str">
        <x:v>En cours</x:v>
      </x:c>
    </x:row>
    <x:row r="202" ht="40" customHeight="1">
      <x:c r="A202" s="22" t="str">
        <x:v>Patron / Chef</x:v>
      </x:c>
      <x:c r="B202" s="22" t="str">
        <x:v>boss</x:v>
      </x:c>
      <x:c r="C202" s="26" t="n">
        <x:v>192</x:v>
      </x:c>
      <x:c r="D202" s="24" t="str">
        <x:v>Lot 13</x:v>
      </x:c>
      <x:c r="E202" s="25" t="str">
        <x:v>Personnes</x:v>
      </x:c>
      <x:c r="F202" s="24" t="str">
        <x:f>IF(AND(G202=8,COUNTIF(Q202:V202,"Atlas")=6),"Intégré","À faire")</x:f>
        <x:v>Intégré</x:v>
      </x:c>
      <x:c r="G202" s="27" t="n">
        <x:f>COUNTIF(I202:P202,"Présent")</x:f>
        <x:v>8</x:v>
      </x:c>
      <x:c r="H202" s="24" t="str">
        <x:v>Archivé Drive</x:v>
      </x:c>
      <x:c r="I202" s="24" t="str">
        <x:v>Présent</x:v>
      </x:c>
      <x:c r="J202" s="24" t="str">
        <x:v>Présent</x:v>
      </x:c>
      <x:c r="K202" s="24" t="str">
        <x:v>Présent</x:v>
      </x:c>
      <x:c r="L202" s="24" t="str">
        <x:v>Présent</x:v>
      </x:c>
      <x:c r="M202" s="24" t="str">
        <x:v>Présent</x:v>
      </x:c>
      <x:c r="N202" s="24" t="str">
        <x:v>Présent</x:v>
      </x:c>
      <x:c r="O202" s="24" t="str">
        <x:v>Présent</x:v>
      </x:c>
      <x:c r="P202" s="24" t="str">
        <x:v>Présent</x:v>
      </x:c>
      <x:c r="Q202" s="24" t="str">
        <x:v>Atlas</x:v>
      </x:c>
      <x:c r="R202" s="24" t="str">
        <x:v>Atlas</x:v>
      </x:c>
      <x:c r="S202" s="24" t="str">
        <x:v>Atlas</x:v>
      </x:c>
      <x:c r="T202" s="24" t="str">
        <x:v>Atlas</x:v>
      </x:c>
      <x:c r="U202" s="24" t="str">
        <x:v>Atlas</x:v>
      </x:c>
      <x:c r="V202" s="24" t="str">
        <x:v>Atlas</x:v>
      </x:c>
      <x:c r="W202" s="24" t="str">
        <x:v>6/6 actuelles</x:v>
      </x:c>
      <x:c r="X202" s="24" t="str">
        <x:v>6/6 actuelles</x:v>
      </x:c>
      <x:c r="Y202" s="24" t="str">
        <x:v>Non consignée</x:v>
      </x:c>
      <x:c r="Z202" s="24" t="str">
        <x:v>Périmée (0/6)</x:v>
      </x:c>
      <x:c r="AA202" s="23" t="str">
        <x:v>Validation navigateur passée. Publication exacte en attente de Thanh.</x:v>
      </x:c>
      <x:c r="AB202" s="21" t="str">
        <x:v>674f752f62b3179c8a21300c7796024f5935efc1</x:v>
      </x:c>
      <x:c r="AC202" s="21" t="str">
        <x:v>En cours</x:v>
      </x:c>
    </x:row>
    <x:row r="203" ht="40" customHeight="1">
      <x:c r="A203" s="22" t="str">
        <x:v>Père</x:v>
      </x:c>
      <x:c r="B203" s="22" t="str">
        <x:v>father</x:v>
      </x:c>
      <x:c r="C203" s="26" t="n">
        <x:v>193</x:v>
      </x:c>
      <x:c r="D203" s="24" t="str">
        <x:v>Lot 10</x:v>
      </x:c>
      <x:c r="E203" s="25" t="str">
        <x:v>Personnes</x:v>
      </x:c>
      <x:c r="F203" s="24" t="str">
        <x:f>IF(AND(G203=8,COUNTIF(Q203:V203,"Atlas")=6),"Intégré","À faire")</x:f>
        <x:v>Intégré</x:v>
      </x:c>
      <x:c r="G203" s="27" t="n">
        <x:f>COUNTIF(I203:P203,"Présent")</x:f>
        <x:v>8</x:v>
      </x:c>
      <x:c r="H203" s="24" t="str">
        <x:v>Archivé Drive</x:v>
      </x:c>
      <x:c r="I203" s="24" t="str">
        <x:v>Présent</x:v>
      </x:c>
      <x:c r="J203" s="24" t="str">
        <x:v>Présent</x:v>
      </x:c>
      <x:c r="K203" s="24" t="str">
        <x:v>Présent</x:v>
      </x:c>
      <x:c r="L203" s="24" t="str">
        <x:v>Présent</x:v>
      </x:c>
      <x:c r="M203" s="24" t="str">
        <x:v>Présent</x:v>
      </x:c>
      <x:c r="N203" s="24" t="str">
        <x:v>Présent</x:v>
      </x:c>
      <x:c r="O203" s="24" t="str">
        <x:v>Présent</x:v>
      </x:c>
      <x:c r="P203" s="24" t="str">
        <x:v>Présent</x:v>
      </x:c>
      <x:c r="Q203" s="24" t="str">
        <x:v>Atlas</x:v>
      </x:c>
      <x:c r="R203" s="24" t="str">
        <x:v>Atlas</x:v>
      </x:c>
      <x:c r="S203" s="24" t="str">
        <x:v>Atlas</x:v>
      </x:c>
      <x:c r="T203" s="24" t="str">
        <x:v>Atlas</x:v>
      </x:c>
      <x:c r="U203" s="24" t="str">
        <x:v>Atlas</x:v>
      </x:c>
      <x:c r="V203" s="24" t="str">
        <x:v>Atlas</x:v>
      </x:c>
      <x:c r="W203" s="24" t="str">
        <x:v>6/6 actuelles</x:v>
      </x:c>
      <x:c r="X203" s="24" t="str">
        <x:v>6/6 actuelles</x:v>
      </x:c>
      <x:c r="Y203" s="24" t="str">
        <x:v>Non consignée</x:v>
      </x:c>
      <x:c r="Z203" s="24" t="str">
        <x:v>Périmée (0/6)</x:v>
      </x:c>
      <x:c r="AA203" s="23" t="str">
        <x:v>Validation navigateur passée. Publication exacte en attente de Thanh.</x:v>
      </x:c>
      <x:c r="AB203" s="21" t="str">
        <x:v>674f752f62b3179c8a21300c7796024f5935efc1</x:v>
      </x:c>
      <x:c r="AC203" s="21" t="str">
        <x:v>En cours</x:v>
      </x:c>
    </x:row>
    <x:row r="204" ht="40" customHeight="1">
      <x:c r="A204" s="22" t="str">
        <x:v>Pieds</x:v>
      </x:c>
      <x:c r="B204" s="22" t="str">
        <x:v>feet</x:v>
      </x:c>
      <x:c r="C204" s="26" t="n">
        <x:v>194</x:v>
      </x:c>
      <x:c r="D204" s="24" t="str">
        <x:v>Lot 11</x:v>
      </x:c>
      <x:c r="E204" s="25" t="str">
        <x:v>Corps</x:v>
      </x:c>
      <x:c r="F204" s="24" t="str">
        <x:f>IF(AND(G204=8,COUNTIF(Q204:V204,"Atlas")=6),"Intégré","À faire")</x:f>
        <x:v>Intégré</x:v>
      </x:c>
      <x:c r="G204" s="27" t="n">
        <x:f>COUNTIF(I204:P204,"Présent")</x:f>
        <x:v>8</x:v>
      </x:c>
      <x:c r="H204" s="24" t="str">
        <x:v>Archivé Drive</x:v>
      </x:c>
      <x:c r="I204" s="24" t="str">
        <x:v>Présent</x:v>
      </x:c>
      <x:c r="J204" s="24" t="str">
        <x:v>Présent</x:v>
      </x:c>
      <x:c r="K204" s="24" t="str">
        <x:v>Présent</x:v>
      </x:c>
      <x:c r="L204" s="24" t="str">
        <x:v>Présent</x:v>
      </x:c>
      <x:c r="M204" s="24" t="str">
        <x:v>Présent</x:v>
      </x:c>
      <x:c r="N204" s="24" t="str">
        <x:v>Présent</x:v>
      </x:c>
      <x:c r="O204" s="24" t="str">
        <x:v>Présent</x:v>
      </x:c>
      <x:c r="P204" s="24" t="str">
        <x:v>Présent</x:v>
      </x:c>
      <x:c r="Q204" s="24" t="str">
        <x:v>Atlas</x:v>
      </x:c>
      <x:c r="R204" s="24" t="str">
        <x:v>Atlas</x:v>
      </x:c>
      <x:c r="S204" s="24" t="str">
        <x:v>Atlas</x:v>
      </x:c>
      <x:c r="T204" s="24" t="str">
        <x:v>Atlas</x:v>
      </x:c>
      <x:c r="U204" s="24" t="str">
        <x:v>Atlas</x:v>
      </x:c>
      <x:c r="V204" s="24" t="str">
        <x:v>Atlas</x:v>
      </x:c>
      <x:c r="W204" s="24" t="str">
        <x:v>6/6 actuelles</x:v>
      </x:c>
      <x:c r="X204" s="24" t="str">
        <x:v>6/6 actuelles</x:v>
      </x:c>
      <x:c r="Y204" s="24" t="str">
        <x:v>Non consignée</x:v>
      </x:c>
      <x:c r="Z204" s="24" t="str">
        <x:v>Périmée (0/6)</x:v>
      </x:c>
      <x:c r="AA204" s="23" t="str">
        <x:v>Validation navigateur passée. Publication exacte en attente de Thanh.</x:v>
      </x:c>
      <x:c r="AB204" s="21" t="str">
        <x:v>674f752f62b3179c8a21300c7796024f5935efc1</x:v>
      </x:c>
      <x:c r="AC204" s="21" t="str">
        <x:v>En cours</x:v>
      </x:c>
    </x:row>
    <x:row r="205" ht="40" customHeight="1">
      <x:c r="A205" s="22" t="str">
        <x:v>Piégé</x:v>
      </x:c>
      <x:c r="B205" s="22" t="str">
        <x:v>trapped</x:v>
      </x:c>
      <x:c r="C205" s="26" t="n">
        <x:v>195</x:v>
      </x:c>
      <x:c r="D205" s="24" t="str">
        <x:v>Lot 11</x:v>
      </x:c>
      <x:c r="E205" s="25" t="str">
        <x:v>Actions</x:v>
      </x:c>
      <x:c r="F205" s="24" t="str">
        <x:f>IF(AND(G205=8,COUNTIF(Q205:V205,"Atlas")=6),"Intégré","À faire")</x:f>
        <x:v>Intégré</x:v>
      </x:c>
      <x:c r="G205" s="27" t="n">
        <x:f>COUNTIF(I205:P205,"Présent")</x:f>
        <x:v>8</x:v>
      </x:c>
      <x:c r="H205" s="24" t="str">
        <x:v>Archivé Drive</x:v>
      </x:c>
      <x:c r="I205" s="24" t="str">
        <x:v>Présent</x:v>
      </x:c>
      <x:c r="J205" s="24" t="str">
        <x:v>Présent</x:v>
      </x:c>
      <x:c r="K205" s="24" t="str">
        <x:v>Présent</x:v>
      </x:c>
      <x:c r="L205" s="24" t="str">
        <x:v>Présent</x:v>
      </x:c>
      <x:c r="M205" s="24" t="str">
        <x:v>Présent</x:v>
      </x:c>
      <x:c r="N205" s="24" t="str">
        <x:v>Présent</x:v>
      </x:c>
      <x:c r="O205" s="24" t="str">
        <x:v>Présent</x:v>
      </x:c>
      <x:c r="P205" s="24" t="str">
        <x:v>Présent</x:v>
      </x:c>
      <x:c r="Q205" s="24" t="str">
        <x:v>Atlas</x:v>
      </x:c>
      <x:c r="R205" s="24" t="str">
        <x:v>Atlas</x:v>
      </x:c>
      <x:c r="S205" s="24" t="str">
        <x:v>Atlas</x:v>
      </x:c>
      <x:c r="T205" s="24" t="str">
        <x:v>Atlas</x:v>
      </x:c>
      <x:c r="U205" s="24" t="str">
        <x:v>Atlas</x:v>
      </x:c>
      <x:c r="V205" s="24" t="str">
        <x:v>Atlas</x:v>
      </x:c>
      <x:c r="W205" s="24" t="str">
        <x:v>6/6 actuelles</x:v>
      </x:c>
      <x:c r="X205" s="24" t="str">
        <x:v>6/6 actuelles</x:v>
      </x:c>
      <x:c r="Y205" s="24" t="str">
        <x:v>Non consignée</x:v>
      </x:c>
      <x:c r="Z205" s="24" t="str">
        <x:v>Périmée (0/6)</x:v>
      </x:c>
      <x:c r="AA205" s="23" t="str">
        <x:v>Validation navigateur passée. Publication exacte en attente de Thanh.</x:v>
      </x:c>
      <x:c r="AB205" s="21" t="str">
        <x:v>674f752f62b3179c8a21300c7796024f5935efc1</x:v>
      </x:c>
      <x:c r="AC205" s="21" t="str">
        <x:v>En cours</x:v>
      </x:c>
    </x:row>
    <x:row r="206" ht="40" customHeight="1">
      <x:c r="A206" s="22" t="str">
        <x:v>Piscine</x:v>
      </x:c>
      <x:c r="B206" s="22" t="str">
        <x:v>swimming-pool</x:v>
      </x:c>
      <x:c r="C206" s="26" t="n">
        <x:v>196</x:v>
      </x:c>
      <x:c r="D206" s="24" t="str">
        <x:v>Lot 13</x:v>
      </x:c>
      <x:c r="E206" s="25" t="str">
        <x:v>Lieux</x:v>
      </x:c>
      <x:c r="F206" s="24" t="str">
        <x:f>IF(AND(G206=8,COUNTIF(Q206:V206,"Atlas")=6),"Intégré","À faire")</x:f>
        <x:v>Intégré</x:v>
      </x:c>
      <x:c r="G206" s="27" t="n">
        <x:f>COUNTIF(I206:P206,"Présent")</x:f>
        <x:v>8</x:v>
      </x:c>
      <x:c r="H206" s="24" t="str">
        <x:v>Archivé Drive</x:v>
      </x:c>
      <x:c r="I206" s="24" t="str">
        <x:v>Présent</x:v>
      </x:c>
      <x:c r="J206" s="24" t="str">
        <x:v>Présent</x:v>
      </x:c>
      <x:c r="K206" s="24" t="str">
        <x:v>Présent</x:v>
      </x:c>
      <x:c r="L206" s="24" t="str">
        <x:v>Présent</x:v>
      </x:c>
      <x:c r="M206" s="24" t="str">
        <x:v>Présent</x:v>
      </x:c>
      <x:c r="N206" s="24" t="str">
        <x:v>Présent</x:v>
      </x:c>
      <x:c r="O206" s="24" t="str">
        <x:v>Présent</x:v>
      </x:c>
      <x:c r="P206" s="24" t="str">
        <x:v>Présent</x:v>
      </x:c>
      <x:c r="Q206" s="24" t="str">
        <x:v>Atlas</x:v>
      </x:c>
      <x:c r="R206" s="24" t="str">
        <x:v>Atlas</x:v>
      </x:c>
      <x:c r="S206" s="24" t="str">
        <x:v>Atlas</x:v>
      </x:c>
      <x:c r="T206" s="24" t="str">
        <x:v>Atlas</x:v>
      </x:c>
      <x:c r="U206" s="24" t="str">
        <x:v>Atlas</x:v>
      </x:c>
      <x:c r="V206" s="24" t="str">
        <x:v>Atlas</x:v>
      </x:c>
      <x:c r="W206" s="24" t="str">
        <x:v>6/6 actuelles</x:v>
      </x:c>
      <x:c r="X206" s="24" t="str">
        <x:v>6/6 actuelles</x:v>
      </x:c>
      <x:c r="Y206" s="24" t="str">
        <x:v>Non consignée</x:v>
      </x:c>
      <x:c r="Z206" s="24" t="str">
        <x:v>Périmée (0/6)</x:v>
      </x:c>
      <x:c r="AA206" s="23" t="str">
        <x:v>Validation navigateur passée. Publication exacte en attente de Thanh.</x:v>
      </x:c>
      <x:c r="AB206" s="21" t="str">
        <x:v>674f752f62b3179c8a21300c7796024f5935efc1</x:v>
      </x:c>
      <x:c r="AC206" s="21" t="str">
        <x:v>En cours</x:v>
      </x:c>
    </x:row>
    <x:row r="207" ht="40" customHeight="1">
      <x:c r="A207" s="22" t="str">
        <x:v>Plage</x:v>
      </x:c>
      <x:c r="B207" s="22" t="str">
        <x:v>beach</x:v>
      </x:c>
      <x:c r="C207" s="26" t="n">
        <x:v>197</x:v>
      </x:c>
      <x:c r="D207" s="24" t="str">
        <x:v>Lot 13</x:v>
      </x:c>
      <x:c r="E207" s="25" t="str">
        <x:v>Lieux</x:v>
      </x:c>
      <x:c r="F207" s="24" t="str">
        <x:f>IF(AND(G207=8,COUNTIF(Q207:V207,"Atlas")=6),"Intégré","À faire")</x:f>
        <x:v>Intégré</x:v>
      </x:c>
      <x:c r="G207" s="27" t="n">
        <x:f>COUNTIF(I207:P207,"Présent")</x:f>
        <x:v>8</x:v>
      </x:c>
      <x:c r="H207" s="24" t="str">
        <x:v>Archivé Drive</x:v>
      </x:c>
      <x:c r="I207" s="24" t="str">
        <x:v>Présent</x:v>
      </x:c>
      <x:c r="J207" s="24" t="str">
        <x:v>Présent</x:v>
      </x:c>
      <x:c r="K207" s="24" t="str">
        <x:v>Présent</x:v>
      </x:c>
      <x:c r="L207" s="24" t="str">
        <x:v>Présent</x:v>
      </x:c>
      <x:c r="M207" s="24" t="str">
        <x:v>Présent</x:v>
      </x:c>
      <x:c r="N207" s="24" t="str">
        <x:v>Présent</x:v>
      </x:c>
      <x:c r="O207" s="24" t="str">
        <x:v>Présent</x:v>
      </x:c>
      <x:c r="P207" s="24" t="str">
        <x:v>Présent</x:v>
      </x:c>
      <x:c r="Q207" s="24" t="str">
        <x:v>Atlas</x:v>
      </x:c>
      <x:c r="R207" s="24" t="str">
        <x:v>Atlas</x:v>
      </x:c>
      <x:c r="S207" s="24" t="str">
        <x:v>Atlas</x:v>
      </x:c>
      <x:c r="T207" s="24" t="str">
        <x:v>Atlas</x:v>
      </x:c>
      <x:c r="U207" s="24" t="str">
        <x:v>Atlas</x:v>
      </x:c>
      <x:c r="V207" s="24" t="str">
        <x:v>Atlas</x:v>
      </x:c>
      <x:c r="W207" s="24" t="str">
        <x:v>6/6 actuelles</x:v>
      </x:c>
      <x:c r="X207" s="24" t="str">
        <x:v>6/6 actuelles</x:v>
      </x:c>
      <x:c r="Y207" s="24" t="str">
        <x:v>Non consignée</x:v>
      </x:c>
      <x:c r="Z207" s="24" t="str">
        <x:v>Périmée (0/6)</x:v>
      </x:c>
      <x:c r="AA207" s="23" t="str">
        <x:v>Validation navigateur passée. Publication exacte en attente de Thanh.</x:v>
      </x:c>
      <x:c r="AB207" s="21" t="str">
        <x:v>674f752f62b3179c8a21300c7796024f5935efc1</x:v>
      </x:c>
      <x:c r="AC207" s="21" t="str">
        <x:v>En cours</x:v>
      </x:c>
    </x:row>
    <x:row r="208" ht="40" customHeight="1">
      <x:c r="A208" s="22" t="str">
        <x:v>Pleurer</x:v>
      </x:c>
      <x:c r="B208" s="22" t="str">
        <x:v>crying</x:v>
      </x:c>
      <x:c r="C208" s="26" t="n">
        <x:v>198</x:v>
      </x:c>
      <x:c r="D208" s="24" t="str">
        <x:v>Lot 08</x:v>
      </x:c>
      <x:c r="E208" s="25" t="str">
        <x:v>Actions</x:v>
      </x:c>
      <x:c r="F208" s="24" t="str">
        <x:f>IF(AND(G208=8,COUNTIF(Q208:V208,"Atlas")=6),"Intégré","À faire")</x:f>
        <x:v>Intégré</x:v>
      </x:c>
      <x:c r="G208" s="27" t="n">
        <x:f>COUNTIF(I208:P208,"Présent")</x:f>
        <x:v>8</x:v>
      </x:c>
      <x:c r="H208" s="24" t="str">
        <x:v>Archivé Drive</x:v>
      </x:c>
      <x:c r="I208" s="24" t="str">
        <x:v>Présent</x:v>
      </x:c>
      <x:c r="J208" s="24" t="str">
        <x:v>Présent</x:v>
      </x:c>
      <x:c r="K208" s="24" t="str">
        <x:v>Présent</x:v>
      </x:c>
      <x:c r="L208" s="24" t="str">
        <x:v>Présent</x:v>
      </x:c>
      <x:c r="M208" s="24" t="str">
        <x:v>Présent</x:v>
      </x:c>
      <x:c r="N208" s="24" t="str">
        <x:v>Présent</x:v>
      </x:c>
      <x:c r="O208" s="24" t="str">
        <x:v>Présent</x:v>
      </x:c>
      <x:c r="P208" s="24" t="str">
        <x:v>Présent</x:v>
      </x:c>
      <x:c r="Q208" s="24" t="str">
        <x:v>Atlas</x:v>
      </x:c>
      <x:c r="R208" s="24" t="str">
        <x:v>Atlas</x:v>
      </x:c>
      <x:c r="S208" s="24" t="str">
        <x:v>Atlas</x:v>
      </x:c>
      <x:c r="T208" s="24" t="str">
        <x:v>Atlas</x:v>
      </x:c>
      <x:c r="U208" s="24" t="str">
        <x:v>Atlas</x:v>
      </x:c>
      <x:c r="V208" s="24" t="str">
        <x:v>Atlas</x:v>
      </x:c>
      <x:c r="W208" s="24" t="str">
        <x:v>6/6 actuelles</x:v>
      </x:c>
      <x:c r="X208" s="24" t="str">
        <x:v>6/6 actuelles</x:v>
      </x:c>
      <x:c r="Y208" s="24" t="str">
        <x:v>Non consignée</x:v>
      </x:c>
      <x:c r="Z208" s="24" t="str">
        <x:v>Périmée (0/6)</x:v>
      </x:c>
      <x:c r="AA208" s="23" t="str">
        <x:v>Validation navigateur passée. Publication exacte en attente de Thanh.</x:v>
      </x:c>
      <x:c r="AB208" s="21" t="str">
        <x:v>674f752f62b3179c8a21300c7796024f5935efc1</x:v>
      </x:c>
      <x:c r="AC208" s="21" t="str">
        <x:v>En cours</x:v>
      </x:c>
    </x:row>
    <x:row r="209" ht="40" customHeight="1">
      <x:c r="A209" s="22" t="str">
        <x:v>Poisson</x:v>
      </x:c>
      <x:c r="B209" s="22" t="str">
        <x:v>fish</x:v>
      </x:c>
      <x:c r="C209" s="26" t="n">
        <x:v>199</x:v>
      </x:c>
      <x:c r="D209" s="24" t="str">
        <x:v>Lot 12</x:v>
      </x:c>
      <x:c r="E209" s="25" t="str">
        <x:v>Animaux</x:v>
      </x:c>
      <x:c r="F209" s="24" t="str">
        <x:f>IF(AND(G209=8,COUNTIF(Q209:V209,"Atlas")=6),"Intégré","À faire")</x:f>
        <x:v>Intégré</x:v>
      </x:c>
      <x:c r="G209" s="27" t="n">
        <x:f>COUNTIF(I209:P209,"Présent")</x:f>
        <x:v>8</x:v>
      </x:c>
      <x:c r="H209" s="24" t="str">
        <x:v>Archivé Drive</x:v>
      </x:c>
      <x:c r="I209" s="24" t="str">
        <x:v>Présent</x:v>
      </x:c>
      <x:c r="J209" s="24" t="str">
        <x:v>Présent</x:v>
      </x:c>
      <x:c r="K209" s="24" t="str">
        <x:v>Présent</x:v>
      </x:c>
      <x:c r="L209" s="24" t="str">
        <x:v>Présent</x:v>
      </x:c>
      <x:c r="M209" s="24" t="str">
        <x:v>Présent</x:v>
      </x:c>
      <x:c r="N209" s="24" t="str">
        <x:v>Présent</x:v>
      </x:c>
      <x:c r="O209" s="24" t="str">
        <x:v>Présent</x:v>
      </x:c>
      <x:c r="P209" s="24" t="str">
        <x:v>Présent</x:v>
      </x:c>
      <x:c r="Q209" s="24" t="str">
        <x:v>Atlas</x:v>
      </x:c>
      <x:c r="R209" s="24" t="str">
        <x:v>Atlas</x:v>
      </x:c>
      <x:c r="S209" s="24" t="str">
        <x:v>Atlas</x:v>
      </x:c>
      <x:c r="T209" s="24" t="str">
        <x:v>Atlas</x:v>
      </x:c>
      <x:c r="U209" s="24" t="str">
        <x:v>Atlas</x:v>
      </x:c>
      <x:c r="V209" s="24" t="str">
        <x:v>Atlas</x:v>
      </x:c>
      <x:c r="W209" s="24" t="str">
        <x:v>6/6 actuelles</x:v>
      </x:c>
      <x:c r="X209" s="24" t="str">
        <x:v>6/6 actuelles</x:v>
      </x:c>
      <x:c r="Y209" s="24" t="str">
        <x:v>Non consignée</x:v>
      </x:c>
      <x:c r="Z209" s="24" t="str">
        <x:v>Périmée (0/6)</x:v>
      </x:c>
      <x:c r="AA209" s="23" t="str">
        <x:v>Validation navigateur passée. Publication exacte en attente de Thanh.</x:v>
      </x:c>
      <x:c r="AB209" s="21" t="str">
        <x:v>674f752f62b3179c8a21300c7796024f5935efc1</x:v>
      </x:c>
      <x:c r="AC209" s="21" t="str">
        <x:v>En cours</x:v>
      </x:c>
    </x:row>
    <x:row r="210" ht="40" customHeight="1">
      <x:c r="A210" s="22" t="str">
        <x:v>Police</x:v>
      </x:c>
      <x:c r="B210" s="22" t="str">
        <x:v>police</x:v>
      </x:c>
      <x:c r="C210" s="26" t="n">
        <x:v>200</x:v>
      </x:c>
      <x:c r="D210" s="24" t="str">
        <x:v>Lot 10</x:v>
      </x:c>
      <x:c r="E210" s="25" t="str">
        <x:v>Personnes</x:v>
      </x:c>
      <x:c r="F210" s="24" t="str">
        <x:f>IF(AND(G210=8,COUNTIF(Q210:V210,"Atlas")=6),"Intégré","À faire")</x:f>
        <x:v>Intégré</x:v>
      </x:c>
      <x:c r="G210" s="27" t="n">
        <x:f>COUNTIF(I210:P210,"Présent")</x:f>
        <x:v>8</x:v>
      </x:c>
      <x:c r="H210" s="24" t="str">
        <x:v>Archivé Drive</x:v>
      </x:c>
      <x:c r="I210" s="24" t="str">
        <x:v>Présent</x:v>
      </x:c>
      <x:c r="J210" s="24" t="str">
        <x:v>Présent</x:v>
      </x:c>
      <x:c r="K210" s="24" t="str">
        <x:v>Présent</x:v>
      </x:c>
      <x:c r="L210" s="24" t="str">
        <x:v>Présent</x:v>
      </x:c>
      <x:c r="M210" s="24" t="str">
        <x:v>Présent</x:v>
      </x:c>
      <x:c r="N210" s="24" t="str">
        <x:v>Présent</x:v>
      </x:c>
      <x:c r="O210" s="24" t="str">
        <x:v>Présent</x:v>
      </x:c>
      <x:c r="P210" s="24" t="str">
        <x:v>Présent</x:v>
      </x:c>
      <x:c r="Q210" s="24" t="str">
        <x:v>Atlas</x:v>
      </x:c>
      <x:c r="R210" s="24" t="str">
        <x:v>Atlas</x:v>
      </x:c>
      <x:c r="S210" s="24" t="str">
        <x:v>Atlas</x:v>
      </x:c>
      <x:c r="T210" s="24" t="str">
        <x:v>Atlas</x:v>
      </x:c>
      <x:c r="U210" s="24" t="str">
        <x:v>Atlas</x:v>
      </x:c>
      <x:c r="V210" s="24" t="str">
        <x:v>Atlas</x:v>
      </x:c>
      <x:c r="W210" s="24" t="str">
        <x:v>6/6 actuelles</x:v>
      </x:c>
      <x:c r="X210" s="24" t="str">
        <x:v>6/6 actuelles</x:v>
      </x:c>
      <x:c r="Y210" s="24" t="str">
        <x:v>Non consignée</x:v>
      </x:c>
      <x:c r="Z210" s="24" t="str">
        <x:v>Périmée (0/6)</x:v>
      </x:c>
      <x:c r="AA210" s="23" t="str">
        <x:v>Validation navigateur passée. Publication exacte en attente de Thanh.</x:v>
      </x:c>
      <x:c r="AB210" s="21" t="str">
        <x:v>674f752f62b3179c8a21300c7796024f5935efc1</x:v>
      </x:c>
      <x:c r="AC210" s="21" t="str">
        <x:v>En cours</x:v>
      </x:c>
    </x:row>
    <x:row r="211" ht="40" customHeight="1">
      <x:c r="A211" s="22" t="str">
        <x:v>Portefeuille</x:v>
      </x:c>
      <x:c r="B211" s="22" t="str">
        <x:v>wallet</x:v>
      </x:c>
      <x:c r="C211" s="26" t="n">
        <x:v>201</x:v>
      </x:c>
      <x:c r="D211" s="24" t="str">
        <x:v>Lot 14</x:v>
      </x:c>
      <x:c r="E211" s="25" t="str">
        <x:v>Objets</x:v>
      </x:c>
      <x:c r="F211" s="24" t="str">
        <x:f>IF(AND(G211=8,COUNTIF(Q211:V211,"Atlas")=6),"Intégré","À faire")</x:f>
        <x:v>Intégré</x:v>
      </x:c>
      <x:c r="G211" s="27" t="n">
        <x:f>COUNTIF(I211:P211,"Présent")</x:f>
        <x:v>8</x:v>
      </x:c>
      <x:c r="H211" s="24" t="str">
        <x:v>Archivé Drive</x:v>
      </x:c>
      <x:c r="I211" s="24" t="str">
        <x:v>Présent</x:v>
      </x:c>
      <x:c r="J211" s="24" t="str">
        <x:v>Présent</x:v>
      </x:c>
      <x:c r="K211" s="24" t="str">
        <x:v>Présent</x:v>
      </x:c>
      <x:c r="L211" s="24" t="str">
        <x:v>Présent</x:v>
      </x:c>
      <x:c r="M211" s="24" t="str">
        <x:v>Présent</x:v>
      </x:c>
      <x:c r="N211" s="24" t="str">
        <x:v>Présent</x:v>
      </x:c>
      <x:c r="O211" s="24" t="str">
        <x:v>Présent</x:v>
      </x:c>
      <x:c r="P211" s="24" t="str">
        <x:v>Présent</x:v>
      </x:c>
      <x:c r="Q211" s="24" t="str">
        <x:v>Atlas</x:v>
      </x:c>
      <x:c r="R211" s="24" t="str">
        <x:v>Atlas</x:v>
      </x:c>
      <x:c r="S211" s="24" t="str">
        <x:v>Atlas</x:v>
      </x:c>
      <x:c r="T211" s="24" t="str">
        <x:v>Atlas</x:v>
      </x:c>
      <x:c r="U211" s="24" t="str">
        <x:v>Atlas</x:v>
      </x:c>
      <x:c r="V211" s="24" t="str">
        <x:v>Atlas</x:v>
      </x:c>
      <x:c r="W211" s="24" t="str">
        <x:v>6/6 actuelles</x:v>
      </x:c>
      <x:c r="X211" s="24" t="str">
        <x:v>6/6 actuelles</x:v>
      </x:c>
      <x:c r="Y211" s="24" t="str">
        <x:v>Non consignée</x:v>
      </x:c>
      <x:c r="Z211" s="24" t="str">
        <x:v>Périmée (0/6)</x:v>
      </x:c>
      <x:c r="AA211" s="23" t="str">
        <x:v>Validation navigateur passée. Publication exacte en attente de Thanh.</x:v>
      </x:c>
      <x:c r="AB211" s="21" t="str">
        <x:v>674f752f62b3179c8a21300c7796024f5935efc1</x:v>
      </x:c>
      <x:c r="AC211" s="21" t="str">
        <x:v>En cours</x:v>
      </x:c>
    </x:row>
    <x:row r="212" ht="40" customHeight="1">
      <x:c r="A212" s="22" t="str">
        <x:v>Poupée</x:v>
      </x:c>
      <x:c r="B212" s="22" t="str">
        <x:v>doll</x:v>
      </x:c>
      <x:c r="C212" s="26" t="n">
        <x:v>202</x:v>
      </x:c>
      <x:c r="D212" s="24" t="str">
        <x:v>Lot 14</x:v>
      </x:c>
      <x:c r="E212" s="25" t="str">
        <x:v>Objets</x:v>
      </x:c>
      <x:c r="F212" s="24" t="str">
        <x:f>IF(AND(G212=8,COUNTIF(Q212:V212,"Atlas")=6),"Intégré","À faire")</x:f>
        <x:v>Intégré</x:v>
      </x:c>
      <x:c r="G212" s="27" t="n">
        <x:f>COUNTIF(I212:P212,"Présent")</x:f>
        <x:v>8</x:v>
      </x:c>
      <x:c r="H212" s="24" t="str">
        <x:v>Archivé Drive</x:v>
      </x:c>
      <x:c r="I212" s="24" t="str">
        <x:v>Présent</x:v>
      </x:c>
      <x:c r="J212" s="24" t="str">
        <x:v>Présent</x:v>
      </x:c>
      <x:c r="K212" s="24" t="str">
        <x:v>Présent</x:v>
      </x:c>
      <x:c r="L212" s="24" t="str">
        <x:v>Présent</x:v>
      </x:c>
      <x:c r="M212" s="24" t="str">
        <x:v>Présent</x:v>
      </x:c>
      <x:c r="N212" s="24" t="str">
        <x:v>Présent</x:v>
      </x:c>
      <x:c r="O212" s="24" t="str">
        <x:v>Présent</x:v>
      </x:c>
      <x:c r="P212" s="24" t="str">
        <x:v>Présent</x:v>
      </x:c>
      <x:c r="Q212" s="24" t="str">
        <x:v>Atlas</x:v>
      </x:c>
      <x:c r="R212" s="24" t="str">
        <x:v>Atlas</x:v>
      </x:c>
      <x:c r="S212" s="24" t="str">
        <x:v>Atlas</x:v>
      </x:c>
      <x:c r="T212" s="24" t="str">
        <x:v>Atlas</x:v>
      </x:c>
      <x:c r="U212" s="24" t="str">
        <x:v>Atlas</x:v>
      </x:c>
      <x:c r="V212" s="24" t="str">
        <x:v>Atlas</x:v>
      </x:c>
      <x:c r="W212" s="24" t="str">
        <x:v>6/6 actuelles</x:v>
      </x:c>
      <x:c r="X212" s="24" t="str">
        <x:v>6/6 actuelles</x:v>
      </x:c>
      <x:c r="Y212" s="24" t="str">
        <x:v>Non consignée</x:v>
      </x:c>
      <x:c r="Z212" s="24" t="str">
        <x:v>Périmée (0/6)</x:v>
      </x:c>
      <x:c r="AA212" s="23" t="str">
        <x:v>Validation navigateur passée. Publication exacte en attente de Thanh.</x:v>
      </x:c>
      <x:c r="AB212" s="21" t="str">
        <x:v>674f752f62b3179c8a21300c7796024f5935efc1</x:v>
      </x:c>
      <x:c r="AC212" s="21" t="str">
        <x:v>En cours</x:v>
      </x:c>
    </x:row>
    <x:row r="213" ht="40" customHeight="1">
      <x:c r="A213" s="22" t="str">
        <x:v>Poursuite / Être poursuivi</x:v>
      </x:c>
      <x:c r="B213" s="22" t="str">
        <x:v>chase</x:v>
      </x:c>
      <x:c r="C213" s="26" t="n">
        <x:v>203</x:v>
      </x:c>
      <x:c r="D213" s="24" t="str">
        <x:v>Lot 08</x:v>
      </x:c>
      <x:c r="E213" s="25" t="str">
        <x:v>Actions</x:v>
      </x:c>
      <x:c r="F213" s="24" t="str">
        <x:f>IF(AND(G213=8,COUNTIF(Q213:V213,"Atlas")=6),"Intégré","À faire")</x:f>
        <x:v>Intégré</x:v>
      </x:c>
      <x:c r="G213" s="27" t="n">
        <x:f>COUNTIF(I213:P213,"Présent")</x:f>
        <x:v>8</x:v>
      </x:c>
      <x:c r="H213" s="24" t="str">
        <x:v>Archivé Drive</x:v>
      </x:c>
      <x:c r="I213" s="24" t="str">
        <x:v>Présent</x:v>
      </x:c>
      <x:c r="J213" s="24" t="str">
        <x:v>Présent</x:v>
      </x:c>
      <x:c r="K213" s="24" t="str">
        <x:v>Présent</x:v>
      </x:c>
      <x:c r="L213" s="24" t="str">
        <x:v>Présent</x:v>
      </x:c>
      <x:c r="M213" s="24" t="str">
        <x:v>Présent</x:v>
      </x:c>
      <x:c r="N213" s="24" t="str">
        <x:v>Présent</x:v>
      </x:c>
      <x:c r="O213" s="24" t="str">
        <x:v>Présent</x:v>
      </x:c>
      <x:c r="P213" s="24" t="str">
        <x:v>Présent</x:v>
      </x:c>
      <x:c r="Q213" s="24" t="str">
        <x:v>Atlas</x:v>
      </x:c>
      <x:c r="R213" s="24" t="str">
        <x:v>Atlas</x:v>
      </x:c>
      <x:c r="S213" s="24" t="str">
        <x:v>Atlas</x:v>
      </x:c>
      <x:c r="T213" s="24" t="str">
        <x:v>Atlas</x:v>
      </x:c>
      <x:c r="U213" s="24" t="str">
        <x:v>Atlas</x:v>
      </x:c>
      <x:c r="V213" s="24" t="str">
        <x:v>Atlas</x:v>
      </x:c>
      <x:c r="W213" s="24" t="str">
        <x:v>6/6 actuelles</x:v>
      </x:c>
      <x:c r="X213" s="24" t="str">
        <x:v>6/6 actuelles</x:v>
      </x:c>
      <x:c r="Y213" s="24" t="str">
        <x:v>Non consignée</x:v>
      </x:c>
      <x:c r="Z213" s="24" t="str">
        <x:v>Périmée (0/6)</x:v>
      </x:c>
      <x:c r="AA213" s="23" t="str">
        <x:v>Validation navigateur passée. Publication exacte en attente de Thanh.</x:v>
      </x:c>
      <x:c r="AB213" s="21" t="str">
        <x:v>674f752f62b3179c8a21300c7796024f5935efc1</x:v>
      </x:c>
      <x:c r="AC213" s="21" t="str">
        <x:v>En cours</x:v>
      </x:c>
    </x:row>
    <x:row r="214" ht="40" customHeight="1">
      <x:c r="A214" s="22" t="str">
        <x:v>Poux</x:v>
      </x:c>
      <x:c r="B214" s="22" t="str">
        <x:v>lice</x:v>
      </x:c>
      <x:c r="C214" s="26" t="n">
        <x:v>204</x:v>
      </x:c>
      <x:c r="D214" s="24" t="str">
        <x:v>Lot 13</x:v>
      </x:c>
      <x:c r="E214" s="25" t="str">
        <x:v>Animaux</x:v>
      </x:c>
      <x:c r="F214" s="24" t="str">
        <x:f>IF(AND(G214=8,COUNTIF(Q214:V214,"Atlas")=6),"Intégré","À faire")</x:f>
        <x:v>Intégré</x:v>
      </x:c>
      <x:c r="G214" s="27" t="n">
        <x:f>COUNTIF(I214:P214,"Présent")</x:f>
        <x:v>8</x:v>
      </x:c>
      <x:c r="H214" s="24" t="str">
        <x:v>Archivé Drive</x:v>
      </x:c>
      <x:c r="I214" s="24" t="str">
        <x:v>Présent</x:v>
      </x:c>
      <x:c r="J214" s="24" t="str">
        <x:v>Présent</x:v>
      </x:c>
      <x:c r="K214" s="24" t="str">
        <x:v>Présent</x:v>
      </x:c>
      <x:c r="L214" s="24" t="str">
        <x:v>Présent</x:v>
      </x:c>
      <x:c r="M214" s="24" t="str">
        <x:v>Présent</x:v>
      </x:c>
      <x:c r="N214" s="24" t="str">
        <x:v>Présent</x:v>
      </x:c>
      <x:c r="O214" s="24" t="str">
        <x:v>Présent</x:v>
      </x:c>
      <x:c r="P214" s="24" t="str">
        <x:v>Présent</x:v>
      </x:c>
      <x:c r="Q214" s="24" t="str">
        <x:v>Atlas</x:v>
      </x:c>
      <x:c r="R214" s="24" t="str">
        <x:v>Atlas</x:v>
      </x:c>
      <x:c r="S214" s="24" t="str">
        <x:v>Atlas</x:v>
      </x:c>
      <x:c r="T214" s="24" t="str">
        <x:v>Atlas</x:v>
      </x:c>
      <x:c r="U214" s="24" t="str">
        <x:v>Atlas</x:v>
      </x:c>
      <x:c r="V214" s="24" t="str">
        <x:v>Atlas</x:v>
      </x:c>
      <x:c r="W214" s="24" t="str">
        <x:v>6/6 actuelles</x:v>
      </x:c>
      <x:c r="X214" s="24" t="str">
        <x:v>6/6 actuelles</x:v>
      </x:c>
      <x:c r="Y214" s="24" t="str">
        <x:v>Non consignée</x:v>
      </x:c>
      <x:c r="Z214" s="24" t="str">
        <x:v>Périmée (0/6)</x:v>
      </x:c>
      <x:c r="AA214" s="23" t="str">
        <x:v>Validation navigateur passée. Publication exacte en attente de Thanh.</x:v>
      </x:c>
      <x:c r="AB214" s="21" t="str">
        <x:v>674f752f62b3179c8a21300c7796024f5935efc1</x:v>
      </x:c>
      <x:c r="AC214" s="21" t="str">
        <x:v>En cours</x:v>
      </x:c>
    </x:row>
    <x:row r="215" ht="40" customHeight="1">
      <x:c r="A215" s="22" t="str">
        <x:v>Prison</x:v>
      </x:c>
      <x:c r="B215" s="22" t="str">
        <x:v>prison</x:v>
      </x:c>
      <x:c r="C215" s="26" t="n">
        <x:v>205</x:v>
      </x:c>
      <x:c r="D215" s="24" t="str">
        <x:v>Lot 11</x:v>
      </x:c>
      <x:c r="E215" s="25" t="str">
        <x:v>Lieux</x:v>
      </x:c>
      <x:c r="F215" s="24" t="str">
        <x:f>IF(AND(G215=8,COUNTIF(Q215:V215,"Atlas")=6),"Intégré","À faire")</x:f>
        <x:v>Intégré</x:v>
      </x:c>
      <x:c r="G215" s="27" t="n">
        <x:f>COUNTIF(I215:P215,"Présent")</x:f>
        <x:v>8</x:v>
      </x:c>
      <x:c r="H215" s="24" t="str">
        <x:v>Archivé Drive</x:v>
      </x:c>
      <x:c r="I215" s="24" t="str">
        <x:v>Présent</x:v>
      </x:c>
      <x:c r="J215" s="24" t="str">
        <x:v>Présent</x:v>
      </x:c>
      <x:c r="K215" s="24" t="str">
        <x:v>Présent</x:v>
      </x:c>
      <x:c r="L215" s="24" t="str">
        <x:v>Présent</x:v>
      </x:c>
      <x:c r="M215" s="24" t="str">
        <x:v>Présent</x:v>
      </x:c>
      <x:c r="N215" s="24" t="str">
        <x:v>Présent</x:v>
      </x:c>
      <x:c r="O215" s="24" t="str">
        <x:v>Présent</x:v>
      </x:c>
      <x:c r="P215" s="24" t="str">
        <x:v>Présent</x:v>
      </x:c>
      <x:c r="Q215" s="24" t="str">
        <x:v>Atlas</x:v>
      </x:c>
      <x:c r="R215" s="24" t="str">
        <x:v>Atlas</x:v>
      </x:c>
      <x:c r="S215" s="24" t="str">
        <x:v>Atlas</x:v>
      </x:c>
      <x:c r="T215" s="24" t="str">
        <x:v>Atlas</x:v>
      </x:c>
      <x:c r="U215" s="24" t="str">
        <x:v>Atlas</x:v>
      </x:c>
      <x:c r="V215" s="24" t="str">
        <x:v>Atlas</x:v>
      </x:c>
      <x:c r="W215" s="24" t="str">
        <x:v>6/6 actuelles</x:v>
      </x:c>
      <x:c r="X215" s="24" t="str">
        <x:v>6/6 actuelles</x:v>
      </x:c>
      <x:c r="Y215" s="24" t="str">
        <x:v>Non consignée</x:v>
      </x:c>
      <x:c r="Z215" s="24" t="str">
        <x:v>Périmée (0/6)</x:v>
      </x:c>
      <x:c r="AA215" s="23" t="str">
        <x:v>Validation navigateur passée. Publication exacte en attente de Thanh.</x:v>
      </x:c>
      <x:c r="AB215" s="21" t="str">
        <x:v>674f752f62b3179c8a21300c7796024f5935efc1</x:v>
      </x:c>
      <x:c r="AC215" s="21" t="str">
        <x:v>En cours</x:v>
      </x:c>
    </x:row>
    <x:row r="216" ht="40" customHeight="1">
      <x:c r="A216" s="22" t="str">
        <x:v>Professeur</x:v>
      </x:c>
      <x:c r="B216" s="22" t="str">
        <x:v>teacher</x:v>
      </x:c>
      <x:c r="C216" s="26" t="n">
        <x:v>206</x:v>
      </x:c>
      <x:c r="D216" s="24" t="str">
        <x:v>Lot 10</x:v>
      </x:c>
      <x:c r="E216" s="25" t="str">
        <x:v>Personnes</x:v>
      </x:c>
      <x:c r="F216" s="24" t="str">
        <x:f>IF(AND(G216=8,COUNTIF(Q216:V216,"Atlas")=6),"Intégré","À faire")</x:f>
        <x:v>Intégré</x:v>
      </x:c>
      <x:c r="G216" s="27" t="n">
        <x:f>COUNTIF(I216:P216,"Présent")</x:f>
        <x:v>8</x:v>
      </x:c>
      <x:c r="H216" s="24" t="str">
        <x:v>Archivé Drive</x:v>
      </x:c>
      <x:c r="I216" s="24" t="str">
        <x:v>Présent</x:v>
      </x:c>
      <x:c r="J216" s="24" t="str">
        <x:v>Présent</x:v>
      </x:c>
      <x:c r="K216" s="24" t="str">
        <x:v>Présent</x:v>
      </x:c>
      <x:c r="L216" s="24" t="str">
        <x:v>Présent</x:v>
      </x:c>
      <x:c r="M216" s="24" t="str">
        <x:v>Présent</x:v>
      </x:c>
      <x:c r="N216" s="24" t="str">
        <x:v>Présent</x:v>
      </x:c>
      <x:c r="O216" s="24" t="str">
        <x:v>Présent</x:v>
      </x:c>
      <x:c r="P216" s="24" t="str">
        <x:v>Présent</x:v>
      </x:c>
      <x:c r="Q216" s="24" t="str">
        <x:v>Atlas</x:v>
      </x:c>
      <x:c r="R216" s="24" t="str">
        <x:v>Atlas</x:v>
      </x:c>
      <x:c r="S216" s="24" t="str">
        <x:v>Atlas</x:v>
      </x:c>
      <x:c r="T216" s="24" t="str">
        <x:v>Atlas</x:v>
      </x:c>
      <x:c r="U216" s="24" t="str">
        <x:v>Atlas</x:v>
      </x:c>
      <x:c r="V216" s="24" t="str">
        <x:v>Atlas</x:v>
      </x:c>
      <x:c r="W216" s="24" t="str">
        <x:v>6/6 actuelles</x:v>
      </x:c>
      <x:c r="X216" s="24" t="str">
        <x:v>6/6 actuelles</x:v>
      </x:c>
      <x:c r="Y216" s="24" t="str">
        <x:v>Non consignée</x:v>
      </x:c>
      <x:c r="Z216" s="24" t="str">
        <x:v>Périmée (0/6)</x:v>
      </x:c>
      <x:c r="AA216" s="23" t="str">
        <x:v>Validation navigateur passée. Publication exacte en attente de Thanh.</x:v>
      </x:c>
      <x:c r="AB216" s="21" t="str">
        <x:v>674f752f62b3179c8a21300c7796024f5935efc1</x:v>
      </x:c>
      <x:c r="AC216" s="21" t="str">
        <x:v>En cours</x:v>
      </x:c>
    </x:row>
    <x:row r="217" ht="40" customHeight="1">
      <x:c r="A217" s="22" t="str">
        <x:v>Rat</x:v>
      </x:c>
      <x:c r="B217" s="22" t="str">
        <x:v>rat</x:v>
      </x:c>
      <x:c r="C217" s="26" t="n">
        <x:v>207</x:v>
      </x:c>
      <x:c r="D217" s="24" t="str">
        <x:v>Lot 12</x:v>
      </x:c>
      <x:c r="E217" s="25" t="str">
        <x:v>Animaux</x:v>
      </x:c>
      <x:c r="F217" s="24" t="str">
        <x:f>IF(AND(G217=8,COUNTIF(Q217:V217,"Atlas")=6),"Intégré","À faire")</x:f>
        <x:v>Intégré</x:v>
      </x:c>
      <x:c r="G217" s="27" t="n">
        <x:f>COUNTIF(I217:P217,"Présent")</x:f>
        <x:v>8</x:v>
      </x:c>
      <x:c r="H217" s="24" t="str">
        <x:v>Archivé Drive</x:v>
      </x:c>
      <x:c r="I217" s="24" t="str">
        <x:v>Présent</x:v>
      </x:c>
      <x:c r="J217" s="24" t="str">
        <x:v>Présent</x:v>
      </x:c>
      <x:c r="K217" s="24" t="str">
        <x:v>Présent</x:v>
      </x:c>
      <x:c r="L217" s="24" t="str">
        <x:v>Présent</x:v>
      </x:c>
      <x:c r="M217" s="24" t="str">
        <x:v>Présent</x:v>
      </x:c>
      <x:c r="N217" s="24" t="str">
        <x:v>Présent</x:v>
      </x:c>
      <x:c r="O217" s="24" t="str">
        <x:v>Présent</x:v>
      </x:c>
      <x:c r="P217" s="24" t="str">
        <x:v>Présent</x:v>
      </x:c>
      <x:c r="Q217" s="24" t="str">
        <x:v>Atlas</x:v>
      </x:c>
      <x:c r="R217" s="24" t="str">
        <x:v>Atlas</x:v>
      </x:c>
      <x:c r="S217" s="24" t="str">
        <x:v>Atlas</x:v>
      </x:c>
      <x:c r="T217" s="24" t="str">
        <x:v>Atlas</x:v>
      </x:c>
      <x:c r="U217" s="24" t="str">
        <x:v>Atlas</x:v>
      </x:c>
      <x:c r="V217" s="24" t="str">
        <x:v>Atlas</x:v>
      </x:c>
      <x:c r="W217" s="24" t="str">
        <x:v>6/6 actuelles</x:v>
      </x:c>
      <x:c r="X217" s="24" t="str">
        <x:v>6/6 actuelles</x:v>
      </x:c>
      <x:c r="Y217" s="24" t="str">
        <x:v>Non consignée</x:v>
      </x:c>
      <x:c r="Z217" s="24" t="str">
        <x:v>Périmée (0/6)</x:v>
      </x:c>
      <x:c r="AA217" s="23" t="str">
        <x:v>Validation navigateur passée. Publication exacte en attente de Thanh.</x:v>
      </x:c>
      <x:c r="AB217" s="21" t="str">
        <x:v>674f752f62b3179c8a21300c7796024f5935efc1</x:v>
      </x:c>
      <x:c r="AC217" s="21" t="str">
        <x:v>En cours</x:v>
      </x:c>
    </x:row>
    <x:row r="218" ht="40" customHeight="1">
      <x:c r="A218" s="22" t="str">
        <x:v>Rater un train</x:v>
      </x:c>
      <x:c r="B218" s="22" t="str">
        <x:v>missing-train</x:v>
      </x:c>
      <x:c r="C218" s="26" t="n">
        <x:v>208</x:v>
      </x:c>
      <x:c r="D218" s="24" t="str">
        <x:v>Lot 11</x:v>
      </x:c>
      <x:c r="E218" s="25" t="str">
        <x:v>Actions</x:v>
      </x:c>
      <x:c r="F218" s="24" t="str">
        <x:f>IF(AND(G218=8,COUNTIF(Q218:V218,"Atlas")=6),"Intégré","À faire")</x:f>
        <x:v>Intégré</x:v>
      </x:c>
      <x:c r="G218" s="27" t="n">
        <x:f>COUNTIF(I218:P218,"Présent")</x:f>
        <x:v>8</x:v>
      </x:c>
      <x:c r="H218" s="24" t="str">
        <x:v>Archivé Drive</x:v>
      </x:c>
      <x:c r="I218" s="24" t="str">
        <x:v>Présent</x:v>
      </x:c>
      <x:c r="J218" s="24" t="str">
        <x:v>Présent</x:v>
      </x:c>
      <x:c r="K218" s="24" t="str">
        <x:v>Présent</x:v>
      </x:c>
      <x:c r="L218" s="24" t="str">
        <x:v>Présent</x:v>
      </x:c>
      <x:c r="M218" s="24" t="str">
        <x:v>Présent</x:v>
      </x:c>
      <x:c r="N218" s="24" t="str">
        <x:v>Présent</x:v>
      </x:c>
      <x:c r="O218" s="24" t="str">
        <x:v>Présent</x:v>
      </x:c>
      <x:c r="P218" s="24" t="str">
        <x:v>Présent</x:v>
      </x:c>
      <x:c r="Q218" s="24" t="str">
        <x:v>Atlas</x:v>
      </x:c>
      <x:c r="R218" s="24" t="str">
        <x:v>Atlas</x:v>
      </x:c>
      <x:c r="S218" s="24" t="str">
        <x:v>Atlas</x:v>
      </x:c>
      <x:c r="T218" s="24" t="str">
        <x:v>Atlas</x:v>
      </x:c>
      <x:c r="U218" s="24" t="str">
        <x:v>Atlas</x:v>
      </x:c>
      <x:c r="V218" s="24" t="str">
        <x:v>Atlas</x:v>
      </x:c>
      <x:c r="W218" s="24" t="str">
        <x:v>6/6 actuelles</x:v>
      </x:c>
      <x:c r="X218" s="24" t="str">
        <x:v>6/6 actuelles</x:v>
      </x:c>
      <x:c r="Y218" s="24" t="str">
        <x:v>Non consignée</x:v>
      </x:c>
      <x:c r="Z218" s="24" t="str">
        <x:v>Périmée (0/6)</x:v>
      </x:c>
      <x:c r="AA218" s="23" t="str">
        <x:v>Validation navigateur passée. Publication exacte en attente de Thanh.</x:v>
      </x:c>
      <x:c r="AB218" s="21" t="str">
        <x:v>674f752f62b3179c8a21300c7796024f5935efc1</x:v>
      </x:c>
      <x:c r="AC218" s="21" t="str">
        <x:v>En cours</x:v>
      </x:c>
    </x:row>
    <x:row r="219" ht="40" customHeight="1">
      <x:c r="A219" s="22" t="str">
        <x:v>Requin</x:v>
      </x:c>
      <x:c r="B219" s="22" t="str">
        <x:v>shark</x:v>
      </x:c>
      <x:c r="C219" s="26" t="n">
        <x:v>209</x:v>
      </x:c>
      <x:c r="D219" s="24" t="str">
        <x:v>Lot 12</x:v>
      </x:c>
      <x:c r="E219" s="25" t="str">
        <x:v>Animaux</x:v>
      </x:c>
      <x:c r="F219" s="24" t="str">
        <x:f>IF(AND(G219=8,COUNTIF(Q219:V219,"Atlas")=6),"Intégré","À faire")</x:f>
        <x:v>Intégré</x:v>
      </x:c>
      <x:c r="G219" s="27" t="n">
        <x:f>COUNTIF(I219:P219,"Présent")</x:f>
        <x:v>8</x:v>
      </x:c>
      <x:c r="H219" s="24" t="str">
        <x:v>Archivé Drive</x:v>
      </x:c>
      <x:c r="I219" s="24" t="str">
        <x:v>Présent</x:v>
      </x:c>
      <x:c r="J219" s="24" t="str">
        <x:v>Présent</x:v>
      </x:c>
      <x:c r="K219" s="24" t="str">
        <x:v>Présent</x:v>
      </x:c>
      <x:c r="L219" s="24" t="str">
        <x:v>Présent</x:v>
      </x:c>
      <x:c r="M219" s="24" t="str">
        <x:v>Présent</x:v>
      </x:c>
      <x:c r="N219" s="24" t="str">
        <x:v>Présent</x:v>
      </x:c>
      <x:c r="O219" s="24" t="str">
        <x:v>Présent</x:v>
      </x:c>
      <x:c r="P219" s="24" t="str">
        <x:v>Présent</x:v>
      </x:c>
      <x:c r="Q219" s="24" t="str">
        <x:v>Atlas</x:v>
      </x:c>
      <x:c r="R219" s="24" t="str">
        <x:v>Atlas</x:v>
      </x:c>
      <x:c r="S219" s="24" t="str">
        <x:v>Atlas</x:v>
      </x:c>
      <x:c r="T219" s="24" t="str">
        <x:v>Atlas</x:v>
      </x:c>
      <x:c r="U219" s="24" t="str">
        <x:v>Atlas</x:v>
      </x:c>
      <x:c r="V219" s="24" t="str">
        <x:v>Atlas</x:v>
      </x:c>
      <x:c r="W219" s="24" t="str">
        <x:v>6/6 actuelles</x:v>
      </x:c>
      <x:c r="X219" s="24" t="str">
        <x:v>6/6 actuelles</x:v>
      </x:c>
      <x:c r="Y219" s="24" t="str">
        <x:v>Non consignée</x:v>
      </x:c>
      <x:c r="Z219" s="24" t="str">
        <x:v>Périmée (0/6)</x:v>
      </x:c>
      <x:c r="AA219" s="23" t="str">
        <x:v>Validation navigateur passée. Publication exacte en attente de Thanh.</x:v>
      </x:c>
      <x:c r="AB219" s="21" t="str">
        <x:v>674f752f62b3179c8a21300c7796024f5935efc1</x:v>
      </x:c>
      <x:c r="AC219" s="21" t="str">
        <x:v>En cours</x:v>
      </x:c>
    </x:row>
    <x:row r="220" ht="40" customHeight="1">
      <x:c r="A220" s="22" t="str">
        <x:v>Rivière</x:v>
      </x:c>
      <x:c r="B220" s="22" t="str">
        <x:v>river</x:v>
      </x:c>
      <x:c r="C220" s="26" t="n">
        <x:v>210</x:v>
      </x:c>
      <x:c r="D220" s="24" t="str">
        <x:v>Lot 12</x:v>
      </x:c>
      <x:c r="E220" s="25" t="str">
        <x:v>Nature</x:v>
      </x:c>
      <x:c r="F220" s="24" t="str">
        <x:f>IF(AND(G220=8,COUNTIF(Q220:V220,"Atlas")=6),"Intégré","À faire")</x:f>
        <x:v>Intégré</x:v>
      </x:c>
      <x:c r="G220" s="27" t="n">
        <x:f>COUNTIF(I220:P220,"Présent")</x:f>
        <x:v>8</x:v>
      </x:c>
      <x:c r="H220" s="24" t="str">
        <x:v>Archivé Drive</x:v>
      </x:c>
      <x:c r="I220" s="24" t="str">
        <x:v>Présent</x:v>
      </x:c>
      <x:c r="J220" s="24" t="str">
        <x:v>Présent</x:v>
      </x:c>
      <x:c r="K220" s="24" t="str">
        <x:v>Présent</x:v>
      </x:c>
      <x:c r="L220" s="24" t="str">
        <x:v>Présent</x:v>
      </x:c>
      <x:c r="M220" s="24" t="str">
        <x:v>Présent</x:v>
      </x:c>
      <x:c r="N220" s="24" t="str">
        <x:v>Présent</x:v>
      </x:c>
      <x:c r="O220" s="24" t="str">
        <x:v>Présent</x:v>
      </x:c>
      <x:c r="P220" s="24" t="str">
        <x:v>Présent</x:v>
      </x:c>
      <x:c r="Q220" s="24" t="str">
        <x:v>Atlas</x:v>
      </x:c>
      <x:c r="R220" s="24" t="str">
        <x:v>Atlas</x:v>
      </x:c>
      <x:c r="S220" s="24" t="str">
        <x:v>Atlas</x:v>
      </x:c>
      <x:c r="T220" s="24" t="str">
        <x:v>Atlas</x:v>
      </x:c>
      <x:c r="U220" s="24" t="str">
        <x:v>Atlas</x:v>
      </x:c>
      <x:c r="V220" s="24" t="str">
        <x:v>Atlas</x:v>
      </x:c>
      <x:c r="W220" s="24" t="str">
        <x:v>6/6 actuelles</x:v>
      </x:c>
      <x:c r="X220" s="24" t="str">
        <x:v>6/6 actuelles</x:v>
      </x:c>
      <x:c r="Y220" s="24" t="str">
        <x:v>Non consignée</x:v>
      </x:c>
      <x:c r="Z220" s="24" t="str">
        <x:v>Périmée (0/6)</x:v>
      </x:c>
      <x:c r="AA220" s="23" t="str">
        <x:v>Validation navigateur passée. Publication exacte en attente de Thanh.</x:v>
      </x:c>
      <x:c r="AB220" s="21" t="str">
        <x:v>674f752f62b3179c8a21300c7796024f5935efc1</x:v>
      </x:c>
      <x:c r="AC220" s="21" t="str">
        <x:v>En cours</x:v>
      </x:c>
    </x:row>
    <x:row r="221" ht="40" customHeight="1">
      <x:c r="A221" s="22" t="str">
        <x:v>Rose</x:v>
      </x:c>
      <x:c r="B221" s="22" t="str">
        <x:v>rose</x:v>
      </x:c>
      <x:c r="C221" s="26" t="n">
        <x:v>211</x:v>
      </x:c>
      <x:c r="D221" s="24" t="str">
        <x:v>Lot 09</x:v>
      </x:c>
      <x:c r="E221" s="25" t="str">
        <x:v>Nature</x:v>
      </x:c>
      <x:c r="F221" s="24" t="str">
        <x:f>IF(AND(G221=8,COUNTIF(Q221:V221,"Atlas")=6),"Intégré","À faire")</x:f>
        <x:v>Intégré</x:v>
      </x:c>
      <x:c r="G221" s="27" t="n">
        <x:f>COUNTIF(I221:P221,"Présent")</x:f>
        <x:v>8</x:v>
      </x:c>
      <x:c r="H221" s="24" t="str">
        <x:v>Archivé local</x:v>
      </x:c>
      <x:c r="I221" s="24" t="str">
        <x:v>Présent</x:v>
      </x:c>
      <x:c r="J221" s="24" t="str">
        <x:v>Présent</x:v>
      </x:c>
      <x:c r="K221" s="24" t="str">
        <x:v>Présent</x:v>
      </x:c>
      <x:c r="L221" s="24" t="str">
        <x:v>Présent</x:v>
      </x:c>
      <x:c r="M221" s="24" t="str">
        <x:v>Présent</x:v>
      </x:c>
      <x:c r="N221" s="24" t="str">
        <x:v>Présent</x:v>
      </x:c>
      <x:c r="O221" s="24" t="str">
        <x:v>Présent</x:v>
      </x:c>
      <x:c r="P221" s="24" t="str">
        <x:v>Présent</x:v>
      </x:c>
      <x:c r="Q221" s="24" t="str">
        <x:v>Atlas</x:v>
      </x:c>
      <x:c r="R221" s="24" t="str">
        <x:v>Atlas</x:v>
      </x:c>
      <x:c r="S221" s="24" t="str">
        <x:v>Atlas</x:v>
      </x:c>
      <x:c r="T221" s="24" t="str">
        <x:v>Atlas</x:v>
      </x:c>
      <x:c r="U221" s="24" t="str">
        <x:v>Atlas</x:v>
      </x:c>
      <x:c r="V221" s="24" t="str">
        <x:v>Atlas</x:v>
      </x:c>
      <x:c r="W221" s="24" t="str">
        <x:v>6/6 actuelles</x:v>
      </x:c>
      <x:c r="X221" s="24" t="str">
        <x:v>6/6 actuelles</x:v>
      </x:c>
      <x:c r="Y221" s="24" t="str">
        <x:v>Non consignée</x:v>
      </x:c>
      <x:c r="Z221" s="24" t="str">
        <x:v>Périmée (0/6)</x:v>
      </x:c>
      <x:c r="AA221" s="23" t="str">
        <x:v>Validation navigateur passée. Publication exacte en attente de Thanh.</x:v>
      </x:c>
      <x:c r="AB221" s="21" t="str">
        <x:v>674f752f62b3179c8a21300c7796024f5935efc1</x:v>
      </x:c>
      <x:c r="AC221" s="21" t="str">
        <x:v>En cours</x:v>
      </x:c>
    </x:row>
    <x:row r="222" ht="40" customHeight="1">
      <x:c r="A222" s="22" t="str">
        <x:v>Route</x:v>
      </x:c>
      <x:c r="B222" s="22" t="str">
        <x:v>road</x:v>
      </x:c>
      <x:c r="C222" s="26" t="n">
        <x:v>212</x:v>
      </x:c>
      <x:c r="D222" s="24" t="str">
        <x:v>Lot 10</x:v>
      </x:c>
      <x:c r="E222" s="25" t="str">
        <x:v>Lieux</x:v>
      </x:c>
      <x:c r="F222" s="24" t="str">
        <x:f>IF(AND(G222=8,COUNTIF(Q222:V222,"Atlas")=6),"Intégré","À faire")</x:f>
        <x:v>Intégré</x:v>
      </x:c>
      <x:c r="G222" s="27" t="n">
        <x:f>COUNTIF(I222:P222,"Présent")</x:f>
        <x:v>8</x:v>
      </x:c>
      <x:c r="H222" s="24" t="str">
        <x:v>Archivé Drive</x:v>
      </x:c>
      <x:c r="I222" s="24" t="str">
        <x:v>Présent</x:v>
      </x:c>
      <x:c r="J222" s="24" t="str">
        <x:v>Présent</x:v>
      </x:c>
      <x:c r="K222" s="24" t="str">
        <x:v>Présent</x:v>
      </x:c>
      <x:c r="L222" s="24" t="str">
        <x:v>Présent</x:v>
      </x:c>
      <x:c r="M222" s="24" t="str">
        <x:v>Présent</x:v>
      </x:c>
      <x:c r="N222" s="24" t="str">
        <x:v>Présent</x:v>
      </x:c>
      <x:c r="O222" s="24" t="str">
        <x:v>Présent</x:v>
      </x:c>
      <x:c r="P222" s="24" t="str">
        <x:v>Présent</x:v>
      </x:c>
      <x:c r="Q222" s="24" t="str">
        <x:v>Atlas</x:v>
      </x:c>
      <x:c r="R222" s="24" t="str">
        <x:v>Atlas</x:v>
      </x:c>
      <x:c r="S222" s="24" t="str">
        <x:v>Atlas</x:v>
      </x:c>
      <x:c r="T222" s="24" t="str">
        <x:v>Atlas</x:v>
      </x:c>
      <x:c r="U222" s="24" t="str">
        <x:v>Atlas</x:v>
      </x:c>
      <x:c r="V222" s="24" t="str">
        <x:v>Atlas</x:v>
      </x:c>
      <x:c r="W222" s="24" t="str">
        <x:v>6/6 actuelles</x:v>
      </x:c>
      <x:c r="X222" s="24" t="str">
        <x:v>6/6 actuelles</x:v>
      </x:c>
      <x:c r="Y222" s="24" t="str">
        <x:v>Non consignée</x:v>
      </x:c>
      <x:c r="Z222" s="24" t="str">
        <x:v>Périmée (0/6)</x:v>
      </x:c>
      <x:c r="AA222" s="23" t="str">
        <x:v>Validation navigateur passée. Publication exacte en attente de Thanh.</x:v>
      </x:c>
      <x:c r="AB222" s="21" t="str">
        <x:v>674f752f62b3179c8a21300c7796024f5935efc1</x:v>
      </x:c>
      <x:c r="AC222" s="21" t="str">
        <x:v>En cours</x:v>
      </x:c>
    </x:row>
    <x:row r="223" ht="40" customHeight="1">
      <x:c r="A223" s="22" t="str">
        <x:v>Saignement</x:v>
      </x:c>
      <x:c r="B223" s="22" t="str">
        <x:v>bleeding</x:v>
      </x:c>
      <x:c r="C223" s="26" t="n">
        <x:v>213</x:v>
      </x:c>
      <x:c r="D223" s="24" t="str">
        <x:v>Lot 11</x:v>
      </x:c>
      <x:c r="E223" s="25" t="str">
        <x:v>Actions</x:v>
      </x:c>
      <x:c r="F223" s="24" t="str">
        <x:f>IF(AND(G223=8,COUNTIF(Q223:V223,"Atlas")=6),"Intégré","À faire")</x:f>
        <x:v>Intégré</x:v>
      </x:c>
      <x:c r="G223" s="27" t="n">
        <x:f>COUNTIF(I223:P223,"Présent")</x:f>
        <x:v>8</x:v>
      </x:c>
      <x:c r="H223" s="24" t="str">
        <x:v>Archivé Drive</x:v>
      </x:c>
      <x:c r="I223" s="24" t="str">
        <x:v>Présent</x:v>
      </x:c>
      <x:c r="J223" s="24" t="str">
        <x:v>Présent</x:v>
      </x:c>
      <x:c r="K223" s="24" t="str">
        <x:v>Présent</x:v>
      </x:c>
      <x:c r="L223" s="24" t="str">
        <x:v>Présent</x:v>
      </x:c>
      <x:c r="M223" s="24" t="str">
        <x:v>Présent</x:v>
      </x:c>
      <x:c r="N223" s="24" t="str">
        <x:v>Présent</x:v>
      </x:c>
      <x:c r="O223" s="24" t="str">
        <x:v>Présent</x:v>
      </x:c>
      <x:c r="P223" s="24" t="str">
        <x:v>Présent</x:v>
      </x:c>
      <x:c r="Q223" s="24" t="str">
        <x:v>Atlas</x:v>
      </x:c>
      <x:c r="R223" s="24" t="str">
        <x:v>Atlas</x:v>
      </x:c>
      <x:c r="S223" s="24" t="str">
        <x:v>Atlas</x:v>
      </x:c>
      <x:c r="T223" s="24" t="str">
        <x:v>Atlas</x:v>
      </x:c>
      <x:c r="U223" s="24" t="str">
        <x:v>Atlas</x:v>
      </x:c>
      <x:c r="V223" s="24" t="str">
        <x:v>Atlas</x:v>
      </x:c>
      <x:c r="W223" s="24" t="str">
        <x:v>6/6 actuelles</x:v>
      </x:c>
      <x:c r="X223" s="24" t="str">
        <x:v>6/6 actuelles</x:v>
      </x:c>
      <x:c r="Y223" s="24" t="str">
        <x:v>Non consignée</x:v>
      </x:c>
      <x:c r="Z223" s="24" t="str">
        <x:v>Périmée (0/6)</x:v>
      </x:c>
      <x:c r="AA223" s="23" t="str">
        <x:v>Validation navigateur passée. Publication exacte en attente de Thanh.</x:v>
      </x:c>
      <x:c r="AB223" s="21" t="str">
        <x:v>674f752f62b3179c8a21300c7796024f5935efc1</x:v>
      </x:c>
      <x:c r="AC223" s="21" t="str">
        <x:v>En cours</x:v>
      </x:c>
    </x:row>
    <x:row r="224" ht="40" customHeight="1">
      <x:c r="A224" s="22" t="str">
        <x:v>Salle de bain</x:v>
      </x:c>
      <x:c r="B224" s="22" t="str">
        <x:v>bathroom</x:v>
      </x:c>
      <x:c r="C224" s="26" t="n">
        <x:v>214</x:v>
      </x:c>
      <x:c r="D224" s="24" t="str">
        <x:v>Lot 10</x:v>
      </x:c>
      <x:c r="E224" s="25" t="str">
        <x:v>Lieux</x:v>
      </x:c>
      <x:c r="F224" s="24" t="str">
        <x:f>IF(AND(G224=8,COUNTIF(Q224:V224,"Atlas")=6),"Intégré","À faire")</x:f>
        <x:v>Intégré</x:v>
      </x:c>
      <x:c r="G224" s="27" t="n">
        <x:f>COUNTIF(I224:P224,"Présent")</x:f>
        <x:v>8</x:v>
      </x:c>
      <x:c r="H224" s="24" t="str">
        <x:v>Archivé Drive</x:v>
      </x:c>
      <x:c r="I224" s="24" t="str">
        <x:v>Présent</x:v>
      </x:c>
      <x:c r="J224" s="24" t="str">
        <x:v>Présent</x:v>
      </x:c>
      <x:c r="K224" s="24" t="str">
        <x:v>Présent</x:v>
      </x:c>
      <x:c r="L224" s="24" t="str">
        <x:v>Présent</x:v>
      </x:c>
      <x:c r="M224" s="24" t="str">
        <x:v>Présent</x:v>
      </x:c>
      <x:c r="N224" s="24" t="str">
        <x:v>Présent</x:v>
      </x:c>
      <x:c r="O224" s="24" t="str">
        <x:v>Présent</x:v>
      </x:c>
      <x:c r="P224" s="24" t="str">
        <x:v>Présent</x:v>
      </x:c>
      <x:c r="Q224" s="24" t="str">
        <x:v>Atlas</x:v>
      </x:c>
      <x:c r="R224" s="24" t="str">
        <x:v>Atlas</x:v>
      </x:c>
      <x:c r="S224" s="24" t="str">
        <x:v>Atlas</x:v>
      </x:c>
      <x:c r="T224" s="24" t="str">
        <x:v>Atlas</x:v>
      </x:c>
      <x:c r="U224" s="24" t="str">
        <x:v>Atlas</x:v>
      </x:c>
      <x:c r="V224" s="24" t="str">
        <x:v>Atlas</x:v>
      </x:c>
      <x:c r="W224" s="24" t="str">
        <x:v>6/6 actuelles</x:v>
      </x:c>
      <x:c r="X224" s="24" t="str">
        <x:v>6/6 actuelles</x:v>
      </x:c>
      <x:c r="Y224" s="24" t="str">
        <x:v>Non consignée</x:v>
      </x:c>
      <x:c r="Z224" s="24" t="str">
        <x:v>Périmée (0/6)</x:v>
      </x:c>
      <x:c r="AA224" s="23" t="str">
        <x:v>Validation navigateur passée. Publication exacte en attente de Thanh.</x:v>
      </x:c>
      <x:c r="AB224" s="21" t="str">
        <x:v>674f752f62b3179c8a21300c7796024f5935efc1</x:v>
      </x:c>
      <x:c r="AC224" s="21" t="str">
        <x:v>En cours</x:v>
      </x:c>
    </x:row>
    <x:row r="225" ht="40" customHeight="1">
      <x:c r="A225" s="22" t="str">
        <x:v>Salle de classe</x:v>
      </x:c>
      <x:c r="B225" s="22" t="str">
        <x:v>classroom</x:v>
      </x:c>
      <x:c r="C225" s="26" t="n">
        <x:v>215</x:v>
      </x:c>
      <x:c r="D225" s="24" t="str">
        <x:v>Lot 10</x:v>
      </x:c>
      <x:c r="E225" s="25" t="str">
        <x:v>Lieux</x:v>
      </x:c>
      <x:c r="F225" s="24" t="str">
        <x:f>IF(AND(G225=8,COUNTIF(Q225:V225,"Atlas")=6),"Intégré","À faire")</x:f>
        <x:v>Intégré</x:v>
      </x:c>
      <x:c r="G225" s="27" t="n">
        <x:f>COUNTIF(I225:P225,"Présent")</x:f>
        <x:v>8</x:v>
      </x:c>
      <x:c r="H225" s="24" t="str">
        <x:v>Archivé Drive</x:v>
      </x:c>
      <x:c r="I225" s="24" t="str">
        <x:v>Présent</x:v>
      </x:c>
      <x:c r="J225" s="24" t="str">
        <x:v>Présent</x:v>
      </x:c>
      <x:c r="K225" s="24" t="str">
        <x:v>Présent</x:v>
      </x:c>
      <x:c r="L225" s="24" t="str">
        <x:v>Présent</x:v>
      </x:c>
      <x:c r="M225" s="24" t="str">
        <x:v>Présent</x:v>
      </x:c>
      <x:c r="N225" s="24" t="str">
        <x:v>Présent</x:v>
      </x:c>
      <x:c r="O225" s="24" t="str">
        <x:v>Présent</x:v>
      </x:c>
      <x:c r="P225" s="24" t="str">
        <x:v>Présent</x:v>
      </x:c>
      <x:c r="Q225" s="24" t="str">
        <x:v>Atlas</x:v>
      </x:c>
      <x:c r="R225" s="24" t="str">
        <x:v>Atlas</x:v>
      </x:c>
      <x:c r="S225" s="24" t="str">
        <x:v>Atlas</x:v>
      </x:c>
      <x:c r="T225" s="24" t="str">
        <x:v>Atlas</x:v>
      </x:c>
      <x:c r="U225" s="24" t="str">
        <x:v>Atlas</x:v>
      </x:c>
      <x:c r="V225" s="24" t="str">
        <x:v>Atlas</x:v>
      </x:c>
      <x:c r="W225" s="24" t="str">
        <x:v>6/6 actuelles</x:v>
      </x:c>
      <x:c r="X225" s="24" t="str">
        <x:v>6/6 actuelles</x:v>
      </x:c>
      <x:c r="Y225" s="24" t="str">
        <x:v>Non consignée</x:v>
      </x:c>
      <x:c r="Z225" s="24" t="str">
        <x:v>Périmée (0/6)</x:v>
      </x:c>
      <x:c r="AA225" s="23" t="str">
        <x:v>Validation navigateur passée. Publication exacte en attente de Thanh.</x:v>
      </x:c>
      <x:c r="AB225" s="21" t="str">
        <x:v>674f752f62b3179c8a21300c7796024f5935efc1</x:v>
      </x:c>
      <x:c r="AC225" s="21" t="str">
        <x:v>En cours</x:v>
      </x:c>
    </x:row>
    <x:row r="226" ht="40" customHeight="1">
      <x:c r="A226" s="22" t="str">
        <x:v>Sang</x:v>
      </x:c>
      <x:c r="B226" s="22" t="str">
        <x:v>blood</x:v>
      </x:c>
      <x:c r="C226" s="26" t="n">
        <x:v>216</x:v>
      </x:c>
      <x:c r="D226" s="24" t="str">
        <x:v>Lot 08</x:v>
      </x:c>
      <x:c r="E226" s="25" t="str">
        <x:v>Corps</x:v>
      </x:c>
      <x:c r="F226" s="24" t="str">
        <x:f>IF(AND(G226=8,COUNTIF(Q226:V226,"Atlas")=6),"Intégré","À faire")</x:f>
        <x:v>Intégré</x:v>
      </x:c>
      <x:c r="G226" s="27" t="n">
        <x:f>COUNTIF(I226:P226,"Présent")</x:f>
        <x:v>8</x:v>
      </x:c>
      <x:c r="H226" s="24" t="str">
        <x:v>Archivé Drive</x:v>
      </x:c>
      <x:c r="I226" s="24" t="str">
        <x:v>Présent</x:v>
      </x:c>
      <x:c r="J226" s="24" t="str">
        <x:v>Présent</x:v>
      </x:c>
      <x:c r="K226" s="24" t="str">
        <x:v>Présent</x:v>
      </x:c>
      <x:c r="L226" s="24" t="str">
        <x:v>Présent</x:v>
      </x:c>
      <x:c r="M226" s="24" t="str">
        <x:v>Présent</x:v>
      </x:c>
      <x:c r="N226" s="24" t="str">
        <x:v>Présent</x:v>
      </x:c>
      <x:c r="O226" s="24" t="str">
        <x:v>Présent</x:v>
      </x:c>
      <x:c r="P226" s="24" t="str">
        <x:v>Présent</x:v>
      </x:c>
      <x:c r="Q226" s="24" t="str">
        <x:v>Atlas</x:v>
      </x:c>
      <x:c r="R226" s="24" t="str">
        <x:v>Atlas</x:v>
      </x:c>
      <x:c r="S226" s="24" t="str">
        <x:v>Atlas</x:v>
      </x:c>
      <x:c r="T226" s="24" t="str">
        <x:v>Atlas</x:v>
      </x:c>
      <x:c r="U226" s="24" t="str">
        <x:v>Atlas</x:v>
      </x:c>
      <x:c r="V226" s="24" t="str">
        <x:v>Atlas</x:v>
      </x:c>
      <x:c r="W226" s="24" t="str">
        <x:v>6/6 actuelles</x:v>
      </x:c>
      <x:c r="X226" s="24" t="str">
        <x:v>6/6 actuelles</x:v>
      </x:c>
      <x:c r="Y226" s="24" t="str">
        <x:v>Non consignée</x:v>
      </x:c>
      <x:c r="Z226" s="24" t="str">
        <x:v>Périmée (0/6)</x:v>
      </x:c>
      <x:c r="AA226" s="23" t="str">
        <x:v>Validation navigateur passée. Publication exacte en attente de Thanh.</x:v>
      </x:c>
      <x:c r="AB226" s="21" t="str">
        <x:v>674f752f62b3179c8a21300c7796024f5935efc1</x:v>
      </x:c>
      <x:c r="AC226" s="21" t="str">
        <x:v>En cours</x:v>
      </x:c>
    </x:row>
    <x:row r="227" ht="40" customHeight="1">
      <x:c r="A227" s="22" t="str">
        <x:v>Scorpion</x:v>
      </x:c>
      <x:c r="B227" s="22" t="str">
        <x:v>scorpion</x:v>
      </x:c>
      <x:c r="C227" s="26" t="n">
        <x:v>217</x:v>
      </x:c>
      <x:c r="D227" s="24" t="str">
        <x:v>Lot 13</x:v>
      </x:c>
      <x:c r="E227" s="25" t="str">
        <x:v>Animaux</x:v>
      </x:c>
      <x:c r="F227" s="24" t="str">
        <x:f>IF(AND(G227=8,COUNTIF(Q227:V227,"Atlas")=6),"Intégré","À faire")</x:f>
        <x:v>Intégré</x:v>
      </x:c>
      <x:c r="G227" s="27" t="n">
        <x:f>COUNTIF(I227:P227,"Présent")</x:f>
        <x:v>8</x:v>
      </x:c>
      <x:c r="H227" s="24" t="str">
        <x:v>Archivé Drive</x:v>
      </x:c>
      <x:c r="I227" s="24" t="str">
        <x:v>Présent</x:v>
      </x:c>
      <x:c r="J227" s="24" t="str">
        <x:v>Présent</x:v>
      </x:c>
      <x:c r="K227" s="24" t="str">
        <x:v>Présent</x:v>
      </x:c>
      <x:c r="L227" s="24" t="str">
        <x:v>Présent</x:v>
      </x:c>
      <x:c r="M227" s="24" t="str">
        <x:v>Présent</x:v>
      </x:c>
      <x:c r="N227" s="24" t="str">
        <x:v>Présent</x:v>
      </x:c>
      <x:c r="O227" s="24" t="str">
        <x:v>Présent</x:v>
      </x:c>
      <x:c r="P227" s="24" t="str">
        <x:v>Présent</x:v>
      </x:c>
      <x:c r="Q227" s="24" t="str">
        <x:v>Atlas</x:v>
      </x:c>
      <x:c r="R227" s="24" t="str">
        <x:v>Atlas</x:v>
      </x:c>
      <x:c r="S227" s="24" t="str">
        <x:v>Atlas</x:v>
      </x:c>
      <x:c r="T227" s="24" t="str">
        <x:v>Atlas</x:v>
      </x:c>
      <x:c r="U227" s="24" t="str">
        <x:v>Atlas</x:v>
      </x:c>
      <x:c r="V227" s="24" t="str">
        <x:v>Atlas</x:v>
      </x:c>
      <x:c r="W227" s="24" t="str">
        <x:v>6/6 actuelles</x:v>
      </x:c>
      <x:c r="X227" s="24" t="str">
        <x:v>6/6 actuelles</x:v>
      </x:c>
      <x:c r="Y227" s="24" t="str">
        <x:v>Non consignée</x:v>
      </x:c>
      <x:c r="Z227" s="24" t="str">
        <x:v>Périmée (0/6)</x:v>
      </x:c>
      <x:c r="AA227" s="23" t="str">
        <x:v>Validation navigateur passée. Publication exacte en attente de Thanh.</x:v>
      </x:c>
      <x:c r="AB227" s="21" t="str">
        <x:v>674f752f62b3179c8a21300c7796024f5935efc1</x:v>
      </x:c>
      <x:c r="AC227" s="21" t="str">
        <x:v>En cours</x:v>
      </x:c>
    </x:row>
    <x:row r="228" ht="40" customHeight="1">
      <x:c r="A228" s="22" t="str">
        <x:v>Se battre / Bagarre</x:v>
      </x:c>
      <x:c r="B228" s="22" t="str">
        <x:v>fighting</x:v>
      </x:c>
      <x:c r="C228" s="26" t="n">
        <x:v>218</x:v>
      </x:c>
      <x:c r="D228" s="24" t="str">
        <x:v>Lot 13</x:v>
      </x:c>
      <x:c r="E228" s="25" t="str">
        <x:v>Actions</x:v>
      </x:c>
      <x:c r="F228" s="24" t="str">
        <x:f>IF(AND(G228=8,COUNTIF(Q228:V228,"Atlas")=6),"Intégré","À faire")</x:f>
        <x:v>Intégré</x:v>
      </x:c>
      <x:c r="G228" s="27" t="n">
        <x:f>COUNTIF(I228:P228,"Présent")</x:f>
        <x:v>8</x:v>
      </x:c>
      <x:c r="H228" s="24" t="str">
        <x:v>Archivé Drive</x:v>
      </x:c>
      <x:c r="I228" s="24" t="str">
        <x:v>Présent</x:v>
      </x:c>
      <x:c r="J228" s="24" t="str">
        <x:v>Présent</x:v>
      </x:c>
      <x:c r="K228" s="24" t="str">
        <x:v>Présent</x:v>
      </x:c>
      <x:c r="L228" s="24" t="str">
        <x:v>Présent</x:v>
      </x:c>
      <x:c r="M228" s="24" t="str">
        <x:v>Présent</x:v>
      </x:c>
      <x:c r="N228" s="24" t="str">
        <x:v>Présent</x:v>
      </x:c>
      <x:c r="O228" s="24" t="str">
        <x:v>Présent</x:v>
      </x:c>
      <x:c r="P228" s="24" t="str">
        <x:v>Présent</x:v>
      </x:c>
      <x:c r="Q228" s="24" t="str">
        <x:v>Atlas</x:v>
      </x:c>
      <x:c r="R228" s="24" t="str">
        <x:v>Atlas</x:v>
      </x:c>
      <x:c r="S228" s="24" t="str">
        <x:v>Atlas</x:v>
      </x:c>
      <x:c r="T228" s="24" t="str">
        <x:v>Atlas</x:v>
      </x:c>
      <x:c r="U228" s="24" t="str">
        <x:v>Atlas</x:v>
      </x:c>
      <x:c r="V228" s="24" t="str">
        <x:v>Atlas</x:v>
      </x:c>
      <x:c r="W228" s="24" t="str">
        <x:v>6/6 actuelles</x:v>
      </x:c>
      <x:c r="X228" s="24" t="str">
        <x:v>6/6 actuelles</x:v>
      </x:c>
      <x:c r="Y228" s="24" t="str">
        <x:v>Non consignée</x:v>
      </x:c>
      <x:c r="Z228" s="24" t="str">
        <x:v>Périmée (0/6)</x:v>
      </x:c>
      <x:c r="AA228" s="23" t="str">
        <x:v>Validation navigateur passée. Publication exacte en attente de Thanh.</x:v>
      </x:c>
      <x:c r="AB228" s="21" t="str">
        <x:v>674f752f62b3179c8a21300c7796024f5935efc1</x:v>
      </x:c>
      <x:c r="AC228" s="21" t="str">
        <x:v>En cours</x:v>
      </x:c>
    </x:row>
    <x:row r="229" ht="40" customHeight="1">
      <x:c r="A229" s="22" t="str">
        <x:v>Se cacher</x:v>
      </x:c>
      <x:c r="B229" s="22" t="str">
        <x:v>hiding</x:v>
      </x:c>
      <x:c r="C229" s="26" t="n">
        <x:v>219</x:v>
      </x:c>
      <x:c r="D229" s="24" t="str">
        <x:v>Lot 11</x:v>
      </x:c>
      <x:c r="E229" s="25" t="str">
        <x:v>Actions</x:v>
      </x:c>
      <x:c r="F229" s="24" t="str">
        <x:f>IF(AND(G229=8,COUNTIF(Q229:V229,"Atlas")=6),"Intégré","À faire")</x:f>
        <x:v>Intégré</x:v>
      </x:c>
      <x:c r="G229" s="27" t="n">
        <x:f>COUNTIF(I229:P229,"Présent")</x:f>
        <x:v>8</x:v>
      </x:c>
      <x:c r="H229" s="24" t="str">
        <x:v>Archivé Drive</x:v>
      </x:c>
      <x:c r="I229" s="24" t="str">
        <x:v>Présent</x:v>
      </x:c>
      <x:c r="J229" s="24" t="str">
        <x:v>Présent</x:v>
      </x:c>
      <x:c r="K229" s="24" t="str">
        <x:v>Présent</x:v>
      </x:c>
      <x:c r="L229" s="24" t="str">
        <x:v>Présent</x:v>
      </x:c>
      <x:c r="M229" s="24" t="str">
        <x:v>Présent</x:v>
      </x:c>
      <x:c r="N229" s="24" t="str">
        <x:v>Présent</x:v>
      </x:c>
      <x:c r="O229" s="24" t="str">
        <x:v>Présent</x:v>
      </x:c>
      <x:c r="P229" s="24" t="str">
        <x:v>Présent</x:v>
      </x:c>
      <x:c r="Q229" s="24" t="str">
        <x:v>Atlas</x:v>
      </x:c>
      <x:c r="R229" s="24" t="str">
        <x:v>Atlas</x:v>
      </x:c>
      <x:c r="S229" s="24" t="str">
        <x:v>Atlas</x:v>
      </x:c>
      <x:c r="T229" s="24" t="str">
        <x:v>Atlas</x:v>
      </x:c>
      <x:c r="U229" s="24" t="str">
        <x:v>Atlas</x:v>
      </x:c>
      <x:c r="V229" s="24" t="str">
        <x:v>Atlas</x:v>
      </x:c>
      <x:c r="W229" s="24" t="str">
        <x:v>6/6 actuelles</x:v>
      </x:c>
      <x:c r="X229" s="24" t="str">
        <x:v>6/6 actuelles</x:v>
      </x:c>
      <x:c r="Y229" s="24" t="str">
        <x:v>Non consignée</x:v>
      </x:c>
      <x:c r="Z229" s="24" t="str">
        <x:v>Périmée (0/6)</x:v>
      </x:c>
      <x:c r="AA229" s="23" t="str">
        <x:v>Validation navigateur passée. Publication exacte en attente de Thanh.</x:v>
      </x:c>
      <x:c r="AB229" s="21" t="str">
        <x:v>674f752f62b3179c8a21300c7796024f5935efc1</x:v>
      </x:c>
      <x:c r="AC229" s="21" t="str">
        <x:v>En cours</x:v>
      </x:c>
    </x:row>
    <x:row r="230" ht="40" customHeight="1">
      <x:c r="A230" s="22" t="str">
        <x:v>Sexe / Faire l'amour</x:v>
      </x:c>
      <x:c r="B230" s="22" t="str">
        <x:v>sex</x:v>
      </x:c>
      <x:c r="C230" s="26" t="n">
        <x:v>220</x:v>
      </x:c>
      <x:c r="D230" s="24" t="str">
        <x:v>Lot 13</x:v>
      </x:c>
      <x:c r="E230" s="25" t="str">
        <x:v>Actions</x:v>
      </x:c>
      <x:c r="F230" s="24" t="str">
        <x:f>IF(AND(G230=8,COUNTIF(Q230:V230,"Atlas")=6),"Intégré","À faire")</x:f>
        <x:v>Intégré</x:v>
      </x:c>
      <x:c r="G230" s="27" t="n">
        <x:f>COUNTIF(I230:P230,"Présent")</x:f>
        <x:v>8</x:v>
      </x:c>
      <x:c r="H230" s="24" t="str">
        <x:v>Archivé Drive</x:v>
      </x:c>
      <x:c r="I230" s="24" t="str">
        <x:v>Présent</x:v>
      </x:c>
      <x:c r="J230" s="24" t="str">
        <x:v>Présent</x:v>
      </x:c>
      <x:c r="K230" s="24" t="str">
        <x:v>Présent</x:v>
      </x:c>
      <x:c r="L230" s="24" t="str">
        <x:v>Présent</x:v>
      </x:c>
      <x:c r="M230" s="24" t="str">
        <x:v>Présent</x:v>
      </x:c>
      <x:c r="N230" s="24" t="str">
        <x:v>Présent</x:v>
      </x:c>
      <x:c r="O230" s="24" t="str">
        <x:v>Présent</x:v>
      </x:c>
      <x:c r="P230" s="24" t="str">
        <x:v>Présent</x:v>
      </x:c>
      <x:c r="Q230" s="24" t="str">
        <x:v>Atlas</x:v>
      </x:c>
      <x:c r="R230" s="24" t="str">
        <x:v>Atlas</x:v>
      </x:c>
      <x:c r="S230" s="24" t="str">
        <x:v>Atlas</x:v>
      </x:c>
      <x:c r="T230" s="24" t="str">
        <x:v>Atlas</x:v>
      </x:c>
      <x:c r="U230" s="24" t="str">
        <x:v>Atlas</x:v>
      </x:c>
      <x:c r="V230" s="24" t="str">
        <x:v>Atlas</x:v>
      </x:c>
      <x:c r="W230" s="24" t="str">
        <x:v>6/6 actuelles</x:v>
      </x:c>
      <x:c r="X230" s="24" t="str">
        <x:v>6/6 actuelles</x:v>
      </x:c>
      <x:c r="Y230" s="24" t="str">
        <x:v>Non consignée</x:v>
      </x:c>
      <x:c r="Z230" s="24" t="str">
        <x:v>Périmée (0/6)</x:v>
      </x:c>
      <x:c r="AA230" s="23" t="str">
        <x:v>Validation navigateur passée. Publication exacte en attente de Thanh.</x:v>
      </x:c>
      <x:c r="AB230" s="21" t="str">
        <x:v>674f752f62b3179c8a21300c7796024f5935efc1</x:v>
      </x:c>
      <x:c r="AC230" s="21" t="str">
        <x:v>En cours</x:v>
      </x:c>
    </x:row>
    <x:row r="231" ht="40" customHeight="1">
      <x:c r="A231" s="22" t="str">
        <x:v>Singe</x:v>
      </x:c>
      <x:c r="B231" s="22" t="str">
        <x:v>monkey</x:v>
      </x:c>
      <x:c r="C231" s="26" t="n">
        <x:v>221</x:v>
      </x:c>
      <x:c r="D231" s="24" t="str">
        <x:v>Lot 13</x:v>
      </x:c>
      <x:c r="E231" s="25" t="str">
        <x:v>Animaux</x:v>
      </x:c>
      <x:c r="F231" s="24" t="str">
        <x:f>IF(AND(G231=8,COUNTIF(Q231:V231,"Atlas")=6),"Intégré","À faire")</x:f>
        <x:v>Intégré</x:v>
      </x:c>
      <x:c r="G231" s="27" t="n">
        <x:f>COUNTIF(I231:P231,"Présent")</x:f>
        <x:v>8</x:v>
      </x:c>
      <x:c r="H231" s="24" t="str">
        <x:v>Archivé Drive</x:v>
      </x:c>
      <x:c r="I231" s="24" t="str">
        <x:v>Présent</x:v>
      </x:c>
      <x:c r="J231" s="24" t="str">
        <x:v>Présent</x:v>
      </x:c>
      <x:c r="K231" s="24" t="str">
        <x:v>Présent</x:v>
      </x:c>
      <x:c r="L231" s="24" t="str">
        <x:v>Présent</x:v>
      </x:c>
      <x:c r="M231" s="24" t="str">
        <x:v>Présent</x:v>
      </x:c>
      <x:c r="N231" s="24" t="str">
        <x:v>Présent</x:v>
      </x:c>
      <x:c r="O231" s="24" t="str">
        <x:v>Présent</x:v>
      </x:c>
      <x:c r="P231" s="24" t="str">
        <x:v>Présent</x:v>
      </x:c>
      <x:c r="Q231" s="24" t="str">
        <x:v>Atlas</x:v>
      </x:c>
      <x:c r="R231" s="24" t="str">
        <x:v>Atlas</x:v>
      </x:c>
      <x:c r="S231" s="24" t="str">
        <x:v>Atlas</x:v>
      </x:c>
      <x:c r="T231" s="24" t="str">
        <x:v>Atlas</x:v>
      </x:c>
      <x:c r="U231" s="24" t="str">
        <x:v>Atlas</x:v>
      </x:c>
      <x:c r="V231" s="24" t="str">
        <x:v>Atlas</x:v>
      </x:c>
      <x:c r="W231" s="24" t="str">
        <x:v>6/6 actuelles</x:v>
      </x:c>
      <x:c r="X231" s="24" t="str">
        <x:v>6/6 actuelles</x:v>
      </x:c>
      <x:c r="Y231" s="24" t="str">
        <x:v>Non consignée</x:v>
      </x:c>
      <x:c r="Z231" s="24" t="str">
        <x:v>Périmée (0/6)</x:v>
      </x:c>
      <x:c r="AA231" s="23" t="str">
        <x:v>Validation navigateur passée. Publication exacte en attente de Thanh.</x:v>
      </x:c>
      <x:c r="AB231" s="21" t="str">
        <x:v>674f752f62b3179c8a21300c7796024f5935efc1</x:v>
      </x:c>
      <x:c r="AC231" s="21" t="str">
        <x:v>En cours</x:v>
      </x:c>
    </x:row>
    <x:row r="232" ht="40" customHeight="1">
      <x:c r="A232" s="22" t="str">
        <x:v>Soleil</x:v>
      </x:c>
      <x:c r="B232" s="22" t="str">
        <x:v>sun</x:v>
      </x:c>
      <x:c r="C232" s="26" t="n">
        <x:v>222</x:v>
      </x:c>
      <x:c r="D232" s="24" t="str">
        <x:v>Lot 08</x:v>
      </x:c>
      <x:c r="E232" s="25" t="str">
        <x:v>Ciel</x:v>
      </x:c>
      <x:c r="F232" s="24" t="str">
        <x:f>IF(AND(G232=8,COUNTIF(Q232:V232,"Atlas")=6),"Intégré","À faire")</x:f>
        <x:v>Intégré</x:v>
      </x:c>
      <x:c r="G232" s="27" t="n">
        <x:f>COUNTIF(I232:P232,"Présent")</x:f>
        <x:v>8</x:v>
      </x:c>
      <x:c r="H232" s="24" t="str">
        <x:v>Archivé Drive</x:v>
      </x:c>
      <x:c r="I232" s="24" t="str">
        <x:v>Présent</x:v>
      </x:c>
      <x:c r="J232" s="24" t="str">
        <x:v>Présent</x:v>
      </x:c>
      <x:c r="K232" s="24" t="str">
        <x:v>Présent</x:v>
      </x:c>
      <x:c r="L232" s="24" t="str">
        <x:v>Présent</x:v>
      </x:c>
      <x:c r="M232" s="24" t="str">
        <x:v>Présent</x:v>
      </x:c>
      <x:c r="N232" s="24" t="str">
        <x:v>Présent</x:v>
      </x:c>
      <x:c r="O232" s="24" t="str">
        <x:v>Présent</x:v>
      </x:c>
      <x:c r="P232" s="24" t="str">
        <x:v>Présent</x:v>
      </x:c>
      <x:c r="Q232" s="24" t="str">
        <x:v>Atlas</x:v>
      </x:c>
      <x:c r="R232" s="24" t="str">
        <x:v>Atlas</x:v>
      </x:c>
      <x:c r="S232" s="24" t="str">
        <x:v>Atlas</x:v>
      </x:c>
      <x:c r="T232" s="24" t="str">
        <x:v>Atlas</x:v>
      </x:c>
      <x:c r="U232" s="24" t="str">
        <x:v>Atlas</x:v>
      </x:c>
      <x:c r="V232" s="24" t="str">
        <x:v>Atlas</x:v>
      </x:c>
      <x:c r="W232" s="24" t="str">
        <x:v>6/6 actuelles</x:v>
      </x:c>
      <x:c r="X232" s="24" t="str">
        <x:v>6/6 actuelles</x:v>
      </x:c>
      <x:c r="Y232" s="24" t="str">
        <x:v>Non consignée</x:v>
      </x:c>
      <x:c r="Z232" s="24" t="str">
        <x:v>Périmée (0/6)</x:v>
      </x:c>
      <x:c r="AA232" s="23" t="str">
        <x:v>Validation navigateur passée. Publication exacte en attente de Thanh.</x:v>
      </x:c>
      <x:c r="AB232" s="21" t="str">
        <x:v>674f752f62b3179c8a21300c7796024f5935efc1</x:v>
      </x:c>
      <x:c r="AC232" s="21" t="str">
        <x:v>En cours</x:v>
      </x:c>
    </x:row>
    <x:row r="233" ht="40" customHeight="1">
      <x:c r="A233" s="22" t="str">
        <x:v>Sorcière</x:v>
      </x:c>
      <x:c r="B233" s="22" t="str">
        <x:v>witch</x:v>
      </x:c>
      <x:c r="C233" s="26" t="n">
        <x:v>223</x:v>
      </x:c>
      <x:c r="D233" s="24" t="str">
        <x:v>Lot 14</x:v>
      </x:c>
      <x:c r="E233" s="25" t="str">
        <x:v>Personnes</x:v>
      </x:c>
      <x:c r="F233" s="24" t="str">
        <x:f>IF(AND(G233=8,COUNTIF(Q233:V233,"Atlas")=6),"Intégré","À faire")</x:f>
        <x:v>Intégré</x:v>
      </x:c>
      <x:c r="G233" s="27" t="n">
        <x:f>COUNTIF(I233:P233,"Présent")</x:f>
        <x:v>8</x:v>
      </x:c>
      <x:c r="H233" s="24" t="str">
        <x:v>Archivé Drive</x:v>
      </x:c>
      <x:c r="I233" s="24" t="str">
        <x:v>Présent</x:v>
      </x:c>
      <x:c r="J233" s="24" t="str">
        <x:v>Présent</x:v>
      </x:c>
      <x:c r="K233" s="24" t="str">
        <x:v>Présent</x:v>
      </x:c>
      <x:c r="L233" s="24" t="str">
        <x:v>Présent</x:v>
      </x:c>
      <x:c r="M233" s="24" t="str">
        <x:v>Présent</x:v>
      </x:c>
      <x:c r="N233" s="24" t="str">
        <x:v>Présent</x:v>
      </x:c>
      <x:c r="O233" s="24" t="str">
        <x:v>Présent</x:v>
      </x:c>
      <x:c r="P233" s="24" t="str">
        <x:v>Présent</x:v>
      </x:c>
      <x:c r="Q233" s="24" t="str">
        <x:v>Atlas</x:v>
      </x:c>
      <x:c r="R233" s="24" t="str">
        <x:v>Atlas</x:v>
      </x:c>
      <x:c r="S233" s="24" t="str">
        <x:v>Atlas</x:v>
      </x:c>
      <x:c r="T233" s="24" t="str">
        <x:v>Atlas</x:v>
      </x:c>
      <x:c r="U233" s="24" t="str">
        <x:v>Atlas</x:v>
      </x:c>
      <x:c r="V233" s="24" t="str">
        <x:v>Atlas</x:v>
      </x:c>
      <x:c r="W233" s="24" t="str">
        <x:v>6/6 actuelles</x:v>
      </x:c>
      <x:c r="X233" s="24" t="str">
        <x:v>6/6 actuelles</x:v>
      </x:c>
      <x:c r="Y233" s="24" t="str">
        <x:v>Non consignée</x:v>
      </x:c>
      <x:c r="Z233" s="24" t="str">
        <x:v>Périmée (0/6)</x:v>
      </x:c>
      <x:c r="AA233" s="23" t="str">
        <x:v>Validation navigateur passée. Publication exacte en attente de Thanh.</x:v>
      </x:c>
      <x:c r="AB233" s="21" t="str">
        <x:v>674f752f62b3179c8a21300c7796024f5935efc1</x:v>
      </x:c>
      <x:c r="AC233" s="21" t="str">
        <x:v>En cours</x:v>
      </x:c>
    </x:row>
    <x:row r="234" ht="40" customHeight="1">
      <x:c r="A234" s="22" t="str">
        <x:v>Souris</x:v>
      </x:c>
      <x:c r="B234" s="22" t="str">
        <x:v>mouse</x:v>
      </x:c>
      <x:c r="C234" s="26" t="n">
        <x:v>224</x:v>
      </x:c>
      <x:c r="D234" s="24" t="str">
        <x:v>Lot 12</x:v>
      </x:c>
      <x:c r="E234" s="25" t="str">
        <x:v>Animaux</x:v>
      </x:c>
      <x:c r="F234" s="24" t="str">
        <x:f>IF(AND(G234=8,COUNTIF(Q234:V234,"Atlas")=6),"Intégré","À faire")</x:f>
        <x:v>Intégré</x:v>
      </x:c>
      <x:c r="G234" s="27" t="n">
        <x:f>COUNTIF(I234:P234,"Présent")</x:f>
        <x:v>8</x:v>
      </x:c>
      <x:c r="H234" s="24" t="str">
        <x:v>Archivé Drive</x:v>
      </x:c>
      <x:c r="I234" s="24" t="str">
        <x:v>Présent</x:v>
      </x:c>
      <x:c r="J234" s="24" t="str">
        <x:v>Présent</x:v>
      </x:c>
      <x:c r="K234" s="24" t="str">
        <x:v>Présent</x:v>
      </x:c>
      <x:c r="L234" s="24" t="str">
        <x:v>Présent</x:v>
      </x:c>
      <x:c r="M234" s="24" t="str">
        <x:v>Présent</x:v>
      </x:c>
      <x:c r="N234" s="24" t="str">
        <x:v>Présent</x:v>
      </x:c>
      <x:c r="O234" s="24" t="str">
        <x:v>Présent</x:v>
      </x:c>
      <x:c r="P234" s="24" t="str">
        <x:v>Présent</x:v>
      </x:c>
      <x:c r="Q234" s="24" t="str">
        <x:v>Atlas</x:v>
      </x:c>
      <x:c r="R234" s="24" t="str">
        <x:v>Atlas</x:v>
      </x:c>
      <x:c r="S234" s="24" t="str">
        <x:v>Atlas</x:v>
      </x:c>
      <x:c r="T234" s="24" t="str">
        <x:v>Atlas</x:v>
      </x:c>
      <x:c r="U234" s="24" t="str">
        <x:v>Atlas</x:v>
      </x:c>
      <x:c r="V234" s="24" t="str">
        <x:v>Atlas</x:v>
      </x:c>
      <x:c r="W234" s="24" t="str">
        <x:v>6/6 actuelles</x:v>
      </x:c>
      <x:c r="X234" s="24" t="str">
        <x:v>6/6 actuelles</x:v>
      </x:c>
      <x:c r="Y234" s="24" t="str">
        <x:v>Non consignée</x:v>
      </x:c>
      <x:c r="Z234" s="24" t="str">
        <x:v>Périmée (0/6)</x:v>
      </x:c>
      <x:c r="AA234" s="23" t="str">
        <x:v>Validation navigateur passée. Publication exacte en attente de Thanh.</x:v>
      </x:c>
      <x:c r="AB234" s="21" t="str">
        <x:v>674f752f62b3179c8a21300c7796024f5935efc1</x:v>
      </x:c>
      <x:c r="AC234" s="21" t="str">
        <x:v>En cours</x:v>
      </x:c>
    </x:row>
    <x:row r="235" ht="40" customHeight="1">
      <x:c r="A235" s="22" t="str">
        <x:v>Sous-sol</x:v>
      </x:c>
      <x:c r="B235" s="22" t="str">
        <x:v>basement</x:v>
      </x:c>
      <x:c r="C235" s="26" t="n">
        <x:v>225</x:v>
      </x:c>
      <x:c r="D235" s="24" t="str">
        <x:v>Lot 11</x:v>
      </x:c>
      <x:c r="E235" s="25" t="str">
        <x:v>Lieux</x:v>
      </x:c>
      <x:c r="F235" s="24" t="str">
        <x:f>IF(AND(G235=8,COUNTIF(Q235:V235,"Atlas")=6),"Intégré","À faire")</x:f>
        <x:v>Intégré</x:v>
      </x:c>
      <x:c r="G235" s="27" t="n">
        <x:f>COUNTIF(I235:P235,"Présent")</x:f>
        <x:v>8</x:v>
      </x:c>
      <x:c r="H235" s="24" t="str">
        <x:v>Archivé Drive</x:v>
      </x:c>
      <x:c r="I235" s="24" t="str">
        <x:v>Présent</x:v>
      </x:c>
      <x:c r="J235" s="24" t="str">
        <x:v>Présent</x:v>
      </x:c>
      <x:c r="K235" s="24" t="str">
        <x:v>Présent</x:v>
      </x:c>
      <x:c r="L235" s="24" t="str">
        <x:v>Présent</x:v>
      </x:c>
      <x:c r="M235" s="24" t="str">
        <x:v>Présent</x:v>
      </x:c>
      <x:c r="N235" s="24" t="str">
        <x:v>Présent</x:v>
      </x:c>
      <x:c r="O235" s="24" t="str">
        <x:v>Présent</x:v>
      </x:c>
      <x:c r="P235" s="24" t="str">
        <x:v>Présent</x:v>
      </x:c>
      <x:c r="Q235" s="24" t="str">
        <x:v>Atlas</x:v>
      </x:c>
      <x:c r="R235" s="24" t="str">
        <x:v>Atlas</x:v>
      </x:c>
      <x:c r="S235" s="24" t="str">
        <x:v>Atlas</x:v>
      </x:c>
      <x:c r="T235" s="24" t="str">
        <x:v>Atlas</x:v>
      </x:c>
      <x:c r="U235" s="24" t="str">
        <x:v>Atlas</x:v>
      </x:c>
      <x:c r="V235" s="24" t="str">
        <x:v>Atlas</x:v>
      </x:c>
      <x:c r="W235" s="24" t="str">
        <x:v>6/6 actuelles</x:v>
      </x:c>
      <x:c r="X235" s="24" t="str">
        <x:v>6/6 actuelles</x:v>
      </x:c>
      <x:c r="Y235" s="24" t="str">
        <x:v>Non consignée</x:v>
      </x:c>
      <x:c r="Z235" s="24" t="str">
        <x:v>Périmée (0/6)</x:v>
      </x:c>
      <x:c r="AA235" s="23" t="str">
        <x:v>Validation navigateur passée. Publication exacte en attente de Thanh.</x:v>
      </x:c>
      <x:c r="AB235" s="21" t="str">
        <x:v>674f752f62b3179c8a21300c7796024f5935efc1</x:v>
      </x:c>
      <x:c r="AC235" s="21" t="str">
        <x:v>En cours</x:v>
      </x:c>
    </x:row>
    <x:row r="236" ht="40" customHeight="1">
      <x:c r="A236" s="22" t="str">
        <x:v>Téléphone</x:v>
      </x:c>
      <x:c r="B236" s="22" t="str">
        <x:v>phone</x:v>
      </x:c>
      <x:c r="C236" s="26" t="n">
        <x:v>226</x:v>
      </x:c>
      <x:c r="D236" s="24" t="str">
        <x:v>Lot 08</x:v>
      </x:c>
      <x:c r="E236" s="25" t="str">
        <x:v>Objets</x:v>
      </x:c>
      <x:c r="F236" s="24" t="str">
        <x:f>IF(AND(G236=8,COUNTIF(Q236:V236,"Atlas")=6),"Intégré","À faire")</x:f>
        <x:v>Intégré</x:v>
      </x:c>
      <x:c r="G236" s="27" t="n">
        <x:f>COUNTIF(I236:P236,"Présent")</x:f>
        <x:v>8</x:v>
      </x:c>
      <x:c r="H236" s="24" t="str">
        <x:v>Archivé Drive</x:v>
      </x:c>
      <x:c r="I236" s="24" t="str">
        <x:v>Présent</x:v>
      </x:c>
      <x:c r="J236" s="24" t="str">
        <x:v>Présent</x:v>
      </x:c>
      <x:c r="K236" s="24" t="str">
        <x:v>Présent</x:v>
      </x:c>
      <x:c r="L236" s="24" t="str">
        <x:v>Présent</x:v>
      </x:c>
      <x:c r="M236" s="24" t="str">
        <x:v>Présent</x:v>
      </x:c>
      <x:c r="N236" s="24" t="str">
        <x:v>Présent</x:v>
      </x:c>
      <x:c r="O236" s="24" t="str">
        <x:v>Présent</x:v>
      </x:c>
      <x:c r="P236" s="24" t="str">
        <x:v>Présent</x:v>
      </x:c>
      <x:c r="Q236" s="24" t="str">
        <x:v>Atlas</x:v>
      </x:c>
      <x:c r="R236" s="24" t="str">
        <x:v>Atlas</x:v>
      </x:c>
      <x:c r="S236" s="24" t="str">
        <x:v>Atlas</x:v>
      </x:c>
      <x:c r="T236" s="24" t="str">
        <x:v>Atlas</x:v>
      </x:c>
      <x:c r="U236" s="24" t="str">
        <x:v>Atlas</x:v>
      </x:c>
      <x:c r="V236" s="24" t="str">
        <x:v>Atlas</x:v>
      </x:c>
      <x:c r="W236" s="24" t="str">
        <x:v>6/6 actuelles</x:v>
      </x:c>
      <x:c r="X236" s="24" t="str">
        <x:v>6/6 actuelles</x:v>
      </x:c>
      <x:c r="Y236" s="24" t="str">
        <x:v>Non consignée</x:v>
      </x:c>
      <x:c r="Z236" s="24" t="str">
        <x:v>Périmée (0/6)</x:v>
      </x:c>
      <x:c r="AA236" s="23" t="str">
        <x:v>Validation navigateur passée. Publication exacte en attente de Thanh.</x:v>
      </x:c>
      <x:c r="AB236" s="21" t="str">
        <x:v>674f752f62b3179c8a21300c7796024f5935efc1</x:v>
      </x:c>
      <x:c r="AC236" s="21" t="str">
        <x:v>En cours</x:v>
      </x:c>
    </x:row>
    <x:row r="237" ht="40" customHeight="1">
      <x:c r="A237" s="22" t="str">
        <x:v>Test de grossesse</x:v>
      </x:c>
      <x:c r="B237" s="22" t="str">
        <x:v>pregnancy-test</x:v>
      </x:c>
      <x:c r="C237" s="26" t="n">
        <x:v>227</x:v>
      </x:c>
      <x:c r="D237" s="24" t="str">
        <x:v>Lot 11</x:v>
      </x:c>
      <x:c r="E237" s="25" t="str">
        <x:v>Objets</x:v>
      </x:c>
      <x:c r="F237" s="24" t="str">
        <x:f>IF(AND(G237=8,COUNTIF(Q237:V237,"Atlas")=6),"Intégré","À faire")</x:f>
        <x:v>Intégré</x:v>
      </x:c>
      <x:c r="G237" s="27" t="n">
        <x:f>COUNTIF(I237:P237,"Présent")</x:f>
        <x:v>8</x:v>
      </x:c>
      <x:c r="H237" s="24" t="str">
        <x:v>Archivé Drive</x:v>
      </x:c>
      <x:c r="I237" s="24" t="str">
        <x:v>Présent</x:v>
      </x:c>
      <x:c r="J237" s="24" t="str">
        <x:v>Présent</x:v>
      </x:c>
      <x:c r="K237" s="24" t="str">
        <x:v>Présent</x:v>
      </x:c>
      <x:c r="L237" s="24" t="str">
        <x:v>Présent</x:v>
      </x:c>
      <x:c r="M237" s="24" t="str">
        <x:v>Présent</x:v>
      </x:c>
      <x:c r="N237" s="24" t="str">
        <x:v>Présent</x:v>
      </x:c>
      <x:c r="O237" s="24" t="str">
        <x:v>Présent</x:v>
      </x:c>
      <x:c r="P237" s="24" t="str">
        <x:v>Présent</x:v>
      </x:c>
      <x:c r="Q237" s="24" t="str">
        <x:v>Atlas</x:v>
      </x:c>
      <x:c r="R237" s="24" t="str">
        <x:v>Atlas</x:v>
      </x:c>
      <x:c r="S237" s="24" t="str">
        <x:v>Atlas</x:v>
      </x:c>
      <x:c r="T237" s="24" t="str">
        <x:v>Atlas</x:v>
      </x:c>
      <x:c r="U237" s="24" t="str">
        <x:v>Atlas</x:v>
      </x:c>
      <x:c r="V237" s="24" t="str">
        <x:v>Atlas</x:v>
      </x:c>
      <x:c r="W237" s="24" t="str">
        <x:v>6/6 actuelles</x:v>
      </x:c>
      <x:c r="X237" s="24" t="str">
        <x:v>6/6 actuelles</x:v>
      </x:c>
      <x:c r="Y237" s="24" t="str">
        <x:v>Non consignée</x:v>
      </x:c>
      <x:c r="Z237" s="24" t="str">
        <x:v>Périmée (0/6)</x:v>
      </x:c>
      <x:c r="AA237" s="23" t="str">
        <x:v>Validation navigateur passée. Publication exacte en attente de Thanh.</x:v>
      </x:c>
      <x:c r="AB237" s="21" t="str">
        <x:v>674f752f62b3179c8a21300c7796024f5935efc1</x:v>
      </x:c>
      <x:c r="AC237" s="21" t="str">
        <x:v>En cours</x:v>
      </x:c>
    </x:row>
    <x:row r="238" ht="40" customHeight="1">
      <x:c r="A238" s="22" t="str">
        <x:v>Toilettes</x:v>
      </x:c>
      <x:c r="B238" s="22" t="str">
        <x:v>toilet</x:v>
      </x:c>
      <x:c r="C238" s="26" t="n">
        <x:v>228</x:v>
      </x:c>
      <x:c r="D238" s="24" t="str">
        <x:v>Lot 13</x:v>
      </x:c>
      <x:c r="E238" s="25" t="str">
        <x:v>Lieux</x:v>
      </x:c>
      <x:c r="F238" s="24" t="str">
        <x:f>IF(AND(G238=8,COUNTIF(Q238:V238,"Atlas")=6),"Intégré","À faire")</x:f>
        <x:v>Intégré</x:v>
      </x:c>
      <x:c r="G238" s="27" t="n">
        <x:f>COUNTIF(I238:P238,"Présent")</x:f>
        <x:v>8</x:v>
      </x:c>
      <x:c r="H238" s="24" t="str">
        <x:v>Archivé Drive</x:v>
      </x:c>
      <x:c r="I238" s="24" t="str">
        <x:v>Présent</x:v>
      </x:c>
      <x:c r="J238" s="24" t="str">
        <x:v>Présent</x:v>
      </x:c>
      <x:c r="K238" s="24" t="str">
        <x:v>Présent</x:v>
      </x:c>
      <x:c r="L238" s="24" t="str">
        <x:v>Présent</x:v>
      </x:c>
      <x:c r="M238" s="24" t="str">
        <x:v>Présent</x:v>
      </x:c>
      <x:c r="N238" s="24" t="str">
        <x:v>Présent</x:v>
      </x:c>
      <x:c r="O238" s="24" t="str">
        <x:v>Présent</x:v>
      </x:c>
      <x:c r="P238" s="24" t="str">
        <x:v>Présent</x:v>
      </x:c>
      <x:c r="Q238" s="24" t="str">
        <x:v>Atlas</x:v>
      </x:c>
      <x:c r="R238" s="24" t="str">
        <x:v>Atlas</x:v>
      </x:c>
      <x:c r="S238" s="24" t="str">
        <x:v>Atlas</x:v>
      </x:c>
      <x:c r="T238" s="24" t="str">
        <x:v>Atlas</x:v>
      </x:c>
      <x:c r="U238" s="24" t="str">
        <x:v>Atlas</x:v>
      </x:c>
      <x:c r="V238" s="24" t="str">
        <x:v>Atlas</x:v>
      </x:c>
      <x:c r="W238" s="24" t="str">
        <x:v>6/6 actuelles</x:v>
      </x:c>
      <x:c r="X238" s="24" t="str">
        <x:v>6/6 actuelles</x:v>
      </x:c>
      <x:c r="Y238" s="24" t="str">
        <x:v>Non consignée</x:v>
      </x:c>
      <x:c r="Z238" s="24" t="str">
        <x:v>Périmée (0/6)</x:v>
      </x:c>
      <x:c r="AA238" s="23" t="str">
        <x:v>Validation navigateur passée. Publication exacte en attente de Thanh.</x:v>
      </x:c>
      <x:c r="AB238" s="21" t="str">
        <x:v>674f752f62b3179c8a21300c7796024f5935efc1</x:v>
      </x:c>
      <x:c r="AC238" s="21" t="str">
        <x:v>En cours</x:v>
      </x:c>
    </x:row>
    <x:row r="239" ht="40" customHeight="1">
      <x:c r="A239" s="22" t="str">
        <x:v>Tornade</x:v>
      </x:c>
      <x:c r="B239" s="22" t="str">
        <x:v>tornado</x:v>
      </x:c>
      <x:c r="C239" s="26" t="n">
        <x:v>229</x:v>
      </x:c>
      <x:c r="D239" s="24" t="str">
        <x:v>Lot 12</x:v>
      </x:c>
      <x:c r="E239" s="25" t="str">
        <x:v>Nature</x:v>
      </x:c>
      <x:c r="F239" s="24" t="str">
        <x:f>IF(AND(G239=8,COUNTIF(Q239:V239,"Atlas")=6),"Intégré","À faire")</x:f>
        <x:v>Intégré</x:v>
      </x:c>
      <x:c r="G239" s="27" t="n">
        <x:f>COUNTIF(I239:P239,"Présent")</x:f>
        <x:v>8</x:v>
      </x:c>
      <x:c r="H239" s="24" t="str">
        <x:v>Archivé Drive</x:v>
      </x:c>
      <x:c r="I239" s="24" t="str">
        <x:v>Présent</x:v>
      </x:c>
      <x:c r="J239" s="24" t="str">
        <x:v>Présent</x:v>
      </x:c>
      <x:c r="K239" s="24" t="str">
        <x:v>Présent</x:v>
      </x:c>
      <x:c r="L239" s="24" t="str">
        <x:v>Présent</x:v>
      </x:c>
      <x:c r="M239" s="24" t="str">
        <x:v>Présent</x:v>
      </x:c>
      <x:c r="N239" s="24" t="str">
        <x:v>Présent</x:v>
      </x:c>
      <x:c r="O239" s="24" t="str">
        <x:v>Présent</x:v>
      </x:c>
      <x:c r="P239" s="24" t="str">
        <x:v>Présent</x:v>
      </x:c>
      <x:c r="Q239" s="24" t="str">
        <x:v>Atlas</x:v>
      </x:c>
      <x:c r="R239" s="24" t="str">
        <x:v>Atlas</x:v>
      </x:c>
      <x:c r="S239" s="24" t="str">
        <x:v>Atlas</x:v>
      </x:c>
      <x:c r="T239" s="24" t="str">
        <x:v>Atlas</x:v>
      </x:c>
      <x:c r="U239" s="24" t="str">
        <x:v>Atlas</x:v>
      </x:c>
      <x:c r="V239" s="24" t="str">
        <x:v>Atlas</x:v>
      </x:c>
      <x:c r="W239" s="24" t="str">
        <x:v>6/6 actuelles</x:v>
      </x:c>
      <x:c r="X239" s="24" t="str">
        <x:v>6/6 actuelles</x:v>
      </x:c>
      <x:c r="Y239" s="24" t="str">
        <x:v>Non consignée</x:v>
      </x:c>
      <x:c r="Z239" s="24" t="str">
        <x:v>Périmée (0/6)</x:v>
      </x:c>
      <x:c r="AA239" s="23" t="str">
        <x:v>Validation navigateur passée. Publication exacte en attente de Thanh.</x:v>
      </x:c>
      <x:c r="AB239" s="21" t="str">
        <x:v>674f752f62b3179c8a21300c7796024f5935efc1</x:v>
      </x:c>
      <x:c r="AC239" s="21" t="str">
        <x:v>En cours</x:v>
      </x:c>
    </x:row>
    <x:row r="240" ht="40" customHeight="1">
      <x:c r="A240" s="22" t="str">
        <x:v>Tremblement de terre</x:v>
      </x:c>
      <x:c r="B240" s="22" t="str">
        <x:v>earthquake</x:v>
      </x:c>
      <x:c r="C240" s="26" t="n">
        <x:v>230</x:v>
      </x:c>
      <x:c r="D240" s="24" t="str">
        <x:v>Lot 11</x:v>
      </x:c>
      <x:c r="E240" s="25" t="str">
        <x:v>Nature</x:v>
      </x:c>
      <x:c r="F240" s="24" t="str">
        <x:f>IF(AND(G240=8,COUNTIF(Q240:V240,"Atlas")=6),"Intégré","À faire")</x:f>
        <x:v>Intégré</x:v>
      </x:c>
      <x:c r="G240" s="27" t="n">
        <x:f>COUNTIF(I240:P240,"Présent")</x:f>
        <x:v>8</x:v>
      </x:c>
      <x:c r="H240" s="24" t="str">
        <x:v>Archivé Drive</x:v>
      </x:c>
      <x:c r="I240" s="24" t="str">
        <x:v>Présent</x:v>
      </x:c>
      <x:c r="J240" s="24" t="str">
        <x:v>Présent</x:v>
      </x:c>
      <x:c r="K240" s="24" t="str">
        <x:v>Présent</x:v>
      </x:c>
      <x:c r="L240" s="24" t="str">
        <x:v>Présent</x:v>
      </x:c>
      <x:c r="M240" s="24" t="str">
        <x:v>Présent</x:v>
      </x:c>
      <x:c r="N240" s="24" t="str">
        <x:v>Présent</x:v>
      </x:c>
      <x:c r="O240" s="24" t="str">
        <x:v>Présent</x:v>
      </x:c>
      <x:c r="P240" s="24" t="str">
        <x:v>Présent</x:v>
      </x:c>
      <x:c r="Q240" s="24" t="str">
        <x:v>Atlas</x:v>
      </x:c>
      <x:c r="R240" s="24" t="str">
        <x:v>Atlas</x:v>
      </x:c>
      <x:c r="S240" s="24" t="str">
        <x:v>Atlas</x:v>
      </x:c>
      <x:c r="T240" s="24" t="str">
        <x:v>Atlas</x:v>
      </x:c>
      <x:c r="U240" s="24" t="str">
        <x:v>Atlas</x:v>
      </x:c>
      <x:c r="V240" s="24" t="str">
        <x:v>Atlas</x:v>
      </x:c>
      <x:c r="W240" s="24" t="str">
        <x:v>6/6 actuelles</x:v>
      </x:c>
      <x:c r="X240" s="24" t="str">
        <x:v>6/6 actuelles</x:v>
      </x:c>
      <x:c r="Y240" s="24" t="str">
        <x:v>Non consignée</x:v>
      </x:c>
      <x:c r="Z240" s="24" t="str">
        <x:v>Périmée (0/6)</x:v>
      </x:c>
      <x:c r="AA240" s="23" t="str">
        <x:v>Validation navigateur passée. Publication exacte en attente de Thanh.</x:v>
      </x:c>
      <x:c r="AB240" s="21" t="str">
        <x:v>674f752f62b3179c8a21300c7796024f5935efc1</x:v>
      </x:c>
      <x:c r="AC240" s="21" t="str">
        <x:v>En cours</x:v>
      </x:c>
    </x:row>
    <x:row r="241" ht="40" customHeight="1">
      <x:c r="A241" s="22" t="str">
        <x:v>Tsunami / Raz-de-marée</x:v>
      </x:c>
      <x:c r="B241" s="22" t="str">
        <x:v>tsunami</x:v>
      </x:c>
      <x:c r="C241" s="26" t="n">
        <x:v>231</x:v>
      </x:c>
      <x:c r="D241" s="24" t="str">
        <x:v>Lot 13</x:v>
      </x:c>
      <x:c r="E241" s="25" t="str">
        <x:v>Nature</x:v>
      </x:c>
      <x:c r="F241" s="24" t="str">
        <x:f>IF(AND(G241=8,COUNTIF(Q241:V241,"Atlas")=6),"Intégré","À faire")</x:f>
        <x:v>Intégré</x:v>
      </x:c>
      <x:c r="G241" s="27" t="n">
        <x:f>COUNTIF(I241:P241,"Présent")</x:f>
        <x:v>8</x:v>
      </x:c>
      <x:c r="H241" s="24" t="str">
        <x:v>Archivé Drive</x:v>
      </x:c>
      <x:c r="I241" s="24" t="str">
        <x:v>Présent</x:v>
      </x:c>
      <x:c r="J241" s="24" t="str">
        <x:v>Présent</x:v>
      </x:c>
      <x:c r="K241" s="24" t="str">
        <x:v>Présent</x:v>
      </x:c>
      <x:c r="L241" s="24" t="str">
        <x:v>Présent</x:v>
      </x:c>
      <x:c r="M241" s="24" t="str">
        <x:v>Présent</x:v>
      </x:c>
      <x:c r="N241" s="24" t="str">
        <x:v>Présent</x:v>
      </x:c>
      <x:c r="O241" s="24" t="str">
        <x:v>Présent</x:v>
      </x:c>
      <x:c r="P241" s="24" t="str">
        <x:v>Présent</x:v>
      </x:c>
      <x:c r="Q241" s="24" t="str">
        <x:v>Atlas</x:v>
      </x:c>
      <x:c r="R241" s="24" t="str">
        <x:v>Atlas</x:v>
      </x:c>
      <x:c r="S241" s="24" t="str">
        <x:v>Atlas</x:v>
      </x:c>
      <x:c r="T241" s="24" t="str">
        <x:v>Atlas</x:v>
      </x:c>
      <x:c r="U241" s="24" t="str">
        <x:v>Atlas</x:v>
      </x:c>
      <x:c r="V241" s="24" t="str">
        <x:v>Atlas</x:v>
      </x:c>
      <x:c r="W241" s="24" t="str">
        <x:v>6/6 actuelles</x:v>
      </x:c>
      <x:c r="X241" s="24" t="str">
        <x:v>6/6 actuelles</x:v>
      </x:c>
      <x:c r="Y241" s="24" t="str">
        <x:v>Non consignée</x:v>
      </x:c>
      <x:c r="Z241" s="24" t="str">
        <x:v>Périmée (0/6)</x:v>
      </x:c>
      <x:c r="AA241" s="23" t="str">
        <x:v>Validation navigateur passée. Publication exacte en attente de Thanh.</x:v>
      </x:c>
      <x:c r="AB241" s="21" t="str">
        <x:v>674f752f62b3179c8a21300c7796024f5935efc1</x:v>
      </x:c>
      <x:c r="AC241" s="21" t="str">
        <x:v>En cours</x:v>
      </x:c>
    </x:row>
    <x:row r="242" ht="40" customHeight="1">
      <x:c r="A242" s="22" t="str">
        <x:v>Tuer quelqu'un</x:v>
      </x:c>
      <x:c r="B242" s="22" t="str">
        <x:v>killing</x:v>
      </x:c>
      <x:c r="C242" s="26" t="n">
        <x:v>232</x:v>
      </x:c>
      <x:c r="D242" s="24" t="str">
        <x:v>Lot 13</x:v>
      </x:c>
      <x:c r="E242" s="25" t="str">
        <x:v>Actions</x:v>
      </x:c>
      <x:c r="F242" s="24" t="str">
        <x:f>IF(AND(G242=8,COUNTIF(Q242:V242,"Atlas")=6),"Intégré","À faire")</x:f>
        <x:v>Intégré</x:v>
      </x:c>
      <x:c r="G242" s="27" t="n">
        <x:f>COUNTIF(I242:P242,"Présent")</x:f>
        <x:v>8</x:v>
      </x:c>
      <x:c r="H242" s="24" t="str">
        <x:v>Archivé Drive</x:v>
      </x:c>
      <x:c r="I242" s="24" t="str">
        <x:v>Présent</x:v>
      </x:c>
      <x:c r="J242" s="24" t="str">
        <x:v>Présent</x:v>
      </x:c>
      <x:c r="K242" s="24" t="str">
        <x:v>Présent</x:v>
      </x:c>
      <x:c r="L242" s="24" t="str">
        <x:v>Présent</x:v>
      </x:c>
      <x:c r="M242" s="24" t="str">
        <x:v>Présent</x:v>
      </x:c>
      <x:c r="N242" s="24" t="str">
        <x:v>Présent</x:v>
      </x:c>
      <x:c r="O242" s="24" t="str">
        <x:v>Présent</x:v>
      </x:c>
      <x:c r="P242" s="24" t="str">
        <x:v>Présent</x:v>
      </x:c>
      <x:c r="Q242" s="24" t="str">
        <x:v>Atlas</x:v>
      </x:c>
      <x:c r="R242" s="24" t="str">
        <x:v>Atlas</x:v>
      </x:c>
      <x:c r="S242" s="24" t="str">
        <x:v>Atlas</x:v>
      </x:c>
      <x:c r="T242" s="24" t="str">
        <x:v>Atlas</x:v>
      </x:c>
      <x:c r="U242" s="24" t="str">
        <x:v>Atlas</x:v>
      </x:c>
      <x:c r="V242" s="24" t="str">
        <x:v>Atlas</x:v>
      </x:c>
      <x:c r="W242" s="24" t="str">
        <x:v>6/6 actuelles</x:v>
      </x:c>
      <x:c r="X242" s="24" t="str">
        <x:v>6/6 actuelles</x:v>
      </x:c>
      <x:c r="Y242" s="24" t="str">
        <x:v>Non consignée</x:v>
      </x:c>
      <x:c r="Z242" s="24" t="str">
        <x:v>Périmée (0/6)</x:v>
      </x:c>
      <x:c r="AA242" s="23" t="str">
        <x:v>Validation navigateur passée. Publication exacte en attente de Thanh.</x:v>
      </x:c>
      <x:c r="AB242" s="21" t="str">
        <x:v>674f752f62b3179c8a21300c7796024f5935efc1</x:v>
      </x:c>
      <x:c r="AC242" s="21" t="str">
        <x:v>En cours</x:v>
      </x:c>
    </x:row>
    <x:row r="243" ht="40" customHeight="1">
      <x:c r="A243" s="22" t="str">
        <x:v>Vache</x:v>
      </x:c>
      <x:c r="B243" s="22" t="str">
        <x:v>cow</x:v>
      </x:c>
      <x:c r="C243" s="26" t="n">
        <x:v>233</x:v>
      </x:c>
      <x:c r="D243" s="24" t="str">
        <x:v>Lot 12</x:v>
      </x:c>
      <x:c r="E243" s="25" t="str">
        <x:v>Animaux</x:v>
      </x:c>
      <x:c r="F243" s="24" t="str">
        <x:f>IF(AND(G243=8,COUNTIF(Q243:V243,"Atlas")=6),"Intégré","À faire")</x:f>
        <x:v>Intégré</x:v>
      </x:c>
      <x:c r="G243" s="27" t="n">
        <x:f>COUNTIF(I243:P243,"Présent")</x:f>
        <x:v>8</x:v>
      </x:c>
      <x:c r="H243" s="24" t="str">
        <x:v>Archivé Drive</x:v>
      </x:c>
      <x:c r="I243" s="24" t="str">
        <x:v>Présent</x:v>
      </x:c>
      <x:c r="J243" s="24" t="str">
        <x:v>Présent</x:v>
      </x:c>
      <x:c r="K243" s="24" t="str">
        <x:v>Présent</x:v>
      </x:c>
      <x:c r="L243" s="24" t="str">
        <x:v>Présent</x:v>
      </x:c>
      <x:c r="M243" s="24" t="str">
        <x:v>Présent</x:v>
      </x:c>
      <x:c r="N243" s="24" t="str">
        <x:v>Présent</x:v>
      </x:c>
      <x:c r="O243" s="24" t="str">
        <x:v>Présent</x:v>
      </x:c>
      <x:c r="P243" s="24" t="str">
        <x:v>Présent</x:v>
      </x:c>
      <x:c r="Q243" s="24" t="str">
        <x:v>Atlas</x:v>
      </x:c>
      <x:c r="R243" s="24" t="str">
        <x:v>Atlas</x:v>
      </x:c>
      <x:c r="S243" s="24" t="str">
        <x:v>Atlas</x:v>
      </x:c>
      <x:c r="T243" s="24" t="str">
        <x:v>Atlas</x:v>
      </x:c>
      <x:c r="U243" s="24" t="str">
        <x:v>Atlas</x:v>
      </x:c>
      <x:c r="V243" s="24" t="str">
        <x:v>Atlas</x:v>
      </x:c>
      <x:c r="W243" s="24" t="str">
        <x:v>6/6 actuelles</x:v>
      </x:c>
      <x:c r="X243" s="24" t="str">
        <x:v>6/6 actuelles</x:v>
      </x:c>
      <x:c r="Y243" s="24" t="str">
        <x:v>Non consignée</x:v>
      </x:c>
      <x:c r="Z243" s="24" t="str">
        <x:v>Périmée (0/6)</x:v>
      </x:c>
      <x:c r="AA243" s="23" t="str">
        <x:v>Validation navigateur passée. Publication exacte en attente de Thanh.</x:v>
      </x:c>
      <x:c r="AB243" s="21" t="str">
        <x:v>674f752f62b3179c8a21300c7796024f5935efc1</x:v>
      </x:c>
      <x:c r="AC243" s="21" t="str">
        <x:v>En cours</x:v>
      </x:c>
    </x:row>
    <x:row r="244" ht="40" customHeight="1">
      <x:c r="A244" s="22" t="str">
        <x:v>Valise</x:v>
      </x:c>
      <x:c r="B244" s="22" t="str">
        <x:v>suitcase</x:v>
      </x:c>
      <x:c r="C244" s="26" t="n">
        <x:v>234</x:v>
      </x:c>
      <x:c r="D244" s="24" t="str">
        <x:v>Lot 10</x:v>
      </x:c>
      <x:c r="E244" s="25" t="str">
        <x:v>Objets</x:v>
      </x:c>
      <x:c r="F244" s="24" t="str">
        <x:f>IF(AND(G244=8,COUNTIF(Q244:V244,"Atlas")=6),"Intégré","À faire")</x:f>
        <x:v>Intégré</x:v>
      </x:c>
      <x:c r="G244" s="27" t="n">
        <x:f>COUNTIF(I244:P244,"Présent")</x:f>
        <x:v>8</x:v>
      </x:c>
      <x:c r="H244" s="24" t="str">
        <x:v>Archivé Drive</x:v>
      </x:c>
      <x:c r="I244" s="24" t="str">
        <x:v>Présent</x:v>
      </x:c>
      <x:c r="J244" s="24" t="str">
        <x:v>Présent</x:v>
      </x:c>
      <x:c r="K244" s="24" t="str">
        <x:v>Présent</x:v>
      </x:c>
      <x:c r="L244" s="24" t="str">
        <x:v>Présent</x:v>
      </x:c>
      <x:c r="M244" s="24" t="str">
        <x:v>Présent</x:v>
      </x:c>
      <x:c r="N244" s="24" t="str">
        <x:v>Présent</x:v>
      </x:c>
      <x:c r="O244" s="24" t="str">
        <x:v>Présent</x:v>
      </x:c>
      <x:c r="P244" s="24" t="str">
        <x:v>Présent</x:v>
      </x:c>
      <x:c r="Q244" s="24" t="str">
        <x:v>Atlas</x:v>
      </x:c>
      <x:c r="R244" s="24" t="str">
        <x:v>Atlas</x:v>
      </x:c>
      <x:c r="S244" s="24" t="str">
        <x:v>Atlas</x:v>
      </x:c>
      <x:c r="T244" s="24" t="str">
        <x:v>Atlas</x:v>
      </x:c>
      <x:c r="U244" s="24" t="str">
        <x:v>Atlas</x:v>
      </x:c>
      <x:c r="V244" s="24" t="str">
        <x:v>Atlas</x:v>
      </x:c>
      <x:c r="W244" s="24" t="str">
        <x:v>6/6 actuelles</x:v>
      </x:c>
      <x:c r="X244" s="24" t="str">
        <x:v>6/6 actuelles</x:v>
      </x:c>
      <x:c r="Y244" s="24" t="str">
        <x:v>Non consignée</x:v>
      </x:c>
      <x:c r="Z244" s="24" t="str">
        <x:v>Périmée (0/6)</x:v>
      </x:c>
      <x:c r="AA244" s="23" t="str">
        <x:v>Validation navigateur passée. Publication exacte en attente de Thanh.</x:v>
      </x:c>
      <x:c r="AB244" s="21" t="str">
        <x:v>674f752f62b3179c8a21300c7796024f5935efc1</x:v>
      </x:c>
      <x:c r="AC244" s="21" t="str">
        <x:v>En cours</x:v>
      </x:c>
    </x:row>
    <x:row r="245" ht="40" customHeight="1">
      <x:c r="A245" s="22" t="str">
        <x:v>Vélo</x:v>
      </x:c>
      <x:c r="B245" s="22" t="str">
        <x:v>bicycle</x:v>
      </x:c>
      <x:c r="C245" s="26" t="n">
        <x:v>235</x:v>
      </x:c>
      <x:c r="D245" s="24" t="str">
        <x:v>Lot 10</x:v>
      </x:c>
      <x:c r="E245" s="25" t="str">
        <x:v>Objets</x:v>
      </x:c>
      <x:c r="F245" s="24" t="str">
        <x:f>IF(AND(G245=8,COUNTIF(Q245:V245,"Atlas")=6),"Intégré","À faire")</x:f>
        <x:v>Intégré</x:v>
      </x:c>
      <x:c r="G245" s="27" t="n">
        <x:f>COUNTIF(I245:P245,"Présent")</x:f>
        <x:v>8</x:v>
      </x:c>
      <x:c r="H245" s="24" t="str">
        <x:v>Archivé Drive</x:v>
      </x:c>
      <x:c r="I245" s="24" t="str">
        <x:v>Présent</x:v>
      </x:c>
      <x:c r="J245" s="24" t="str">
        <x:v>Présent</x:v>
      </x:c>
      <x:c r="K245" s="24" t="str">
        <x:v>Présent</x:v>
      </x:c>
      <x:c r="L245" s="24" t="str">
        <x:v>Présent</x:v>
      </x:c>
      <x:c r="M245" s="24" t="str">
        <x:v>Présent</x:v>
      </x:c>
      <x:c r="N245" s="24" t="str">
        <x:v>Présent</x:v>
      </x:c>
      <x:c r="O245" s="24" t="str">
        <x:v>Présent</x:v>
      </x:c>
      <x:c r="P245" s="24" t="str">
        <x:v>Présent</x:v>
      </x:c>
      <x:c r="Q245" s="24" t="str">
        <x:v>Atlas</x:v>
      </x:c>
      <x:c r="R245" s="24" t="str">
        <x:v>Atlas</x:v>
      </x:c>
      <x:c r="S245" s="24" t="str">
        <x:v>Atlas</x:v>
      </x:c>
      <x:c r="T245" s="24" t="str">
        <x:v>Atlas</x:v>
      </x:c>
      <x:c r="U245" s="24" t="str">
        <x:v>Atlas</x:v>
      </x:c>
      <x:c r="V245" s="24" t="str">
        <x:v>Atlas</x:v>
      </x:c>
      <x:c r="W245" s="24" t="str">
        <x:v>6/6 actuelles</x:v>
      </x:c>
      <x:c r="X245" s="24" t="str">
        <x:v>6/6 actuelles</x:v>
      </x:c>
      <x:c r="Y245" s="24" t="str">
        <x:v>Non consignée</x:v>
      </x:c>
      <x:c r="Z245" s="24" t="str">
        <x:v>Périmée (0/6)</x:v>
      </x:c>
      <x:c r="AA245" s="23" t="str">
        <x:v>Validation navigateur passée. Publication exacte en attente de Thanh.</x:v>
      </x:c>
      <x:c r="AB245" s="21" t="str">
        <x:v>674f752f62b3179c8a21300c7796024f5935efc1</x:v>
      </x:c>
      <x:c r="AC245" s="21" t="str">
        <x:v>En cours</x:v>
      </x:c>
    </x:row>
    <x:row r="246" ht="40" customHeight="1">
      <x:c r="A246" s="22" t="str">
        <x:v>Vers</x:v>
      </x:c>
      <x:c r="B246" s="22" t="str">
        <x:v>worms</x:v>
      </x:c>
      <x:c r="C246" s="26" t="n">
        <x:v>236</x:v>
      </x:c>
      <x:c r="D246" s="24" t="str">
        <x:v>Lot 12</x:v>
      </x:c>
      <x:c r="E246" s="25" t="str">
        <x:v>Animaux</x:v>
      </x:c>
      <x:c r="F246" s="24" t="str">
        <x:f>IF(AND(G246=8,COUNTIF(Q246:V246,"Atlas")=6),"Intégré","À faire")</x:f>
        <x:v>Intégré</x:v>
      </x:c>
      <x:c r="G246" s="27" t="n">
        <x:f>COUNTIF(I246:P246,"Présent")</x:f>
        <x:v>8</x:v>
      </x:c>
      <x:c r="H246" s="24" t="str">
        <x:v>Archivé Drive</x:v>
      </x:c>
      <x:c r="I246" s="24" t="str">
        <x:v>Présent</x:v>
      </x:c>
      <x:c r="J246" s="24" t="str">
        <x:v>Présent</x:v>
      </x:c>
      <x:c r="K246" s="24" t="str">
        <x:v>Présent</x:v>
      </x:c>
      <x:c r="L246" s="24" t="str">
        <x:v>Présent</x:v>
      </x:c>
      <x:c r="M246" s="24" t="str">
        <x:v>Présent</x:v>
      </x:c>
      <x:c r="N246" s="24" t="str">
        <x:v>Présent</x:v>
      </x:c>
      <x:c r="O246" s="24" t="str">
        <x:v>Présent</x:v>
      </x:c>
      <x:c r="P246" s="24" t="str">
        <x:v>Présent</x:v>
      </x:c>
      <x:c r="Q246" s="24" t="str">
        <x:v>Atlas</x:v>
      </x:c>
      <x:c r="R246" s="24" t="str">
        <x:v>Atlas</x:v>
      </x:c>
      <x:c r="S246" s="24" t="str">
        <x:v>Atlas</x:v>
      </x:c>
      <x:c r="T246" s="24" t="str">
        <x:v>Atlas</x:v>
      </x:c>
      <x:c r="U246" s="24" t="str">
        <x:v>Atlas</x:v>
      </x:c>
      <x:c r="V246" s="24" t="str">
        <x:v>Atlas</x:v>
      </x:c>
      <x:c r="W246" s="24" t="str">
        <x:v>6/6 actuelles</x:v>
      </x:c>
      <x:c r="X246" s="24" t="str">
        <x:v>6/6 actuelles</x:v>
      </x:c>
      <x:c r="Y246" s="24" t="str">
        <x:v>Non consignée</x:v>
      </x:c>
      <x:c r="Z246" s="24" t="str">
        <x:v>Périmée (0/6)</x:v>
      </x:c>
      <x:c r="AA246" s="23" t="str">
        <x:v>Validation navigateur passée. Publication exacte en attente de Thanh.</x:v>
      </x:c>
      <x:c r="AB246" s="21" t="str">
        <x:v>674f752f62b3179c8a21300c7796024f5935efc1</x:v>
      </x:c>
      <x:c r="AC246" s="21" t="str">
        <x:v>En cours</x:v>
      </x:c>
    </x:row>
    <x:row r="247" ht="40" customHeight="1">
      <x:c r="A247" s="22" t="str">
        <x:v>Volcan</x:v>
      </x:c>
      <x:c r="B247" s="22" t="str">
        <x:v>volcano</x:v>
      </x:c>
      <x:c r="C247" s="26" t="n">
        <x:v>237</x:v>
      </x:c>
      <x:c r="D247" s="24" t="str">
        <x:v>Lot 12 (master)</x:v>
      </x:c>
      <x:c r="E247" s="25" t="str">
        <x:v>Nature</x:v>
      </x:c>
      <x:c r="F247" s="24" t="str">
        <x:f>IF(AND(G247=8,COUNTIF(Q247:V247,"Atlas")=6),"Intégré","À faire")</x:f>
        <x:v>Intégré</x:v>
      </x:c>
      <x:c r="G247" s="27" t="n">
        <x:f>COUNTIF(I247:P247,"Présent")</x:f>
        <x:v>8</x:v>
      </x:c>
      <x:c r="H247" s="24" t="str">
        <x:v>Archive Drive</x:v>
      </x:c>
      <x:c r="I247" s="24" t="str">
        <x:v>Présent</x:v>
      </x:c>
      <x:c r="J247" s="24" t="str">
        <x:v>Présent</x:v>
      </x:c>
      <x:c r="K247" s="24" t="str">
        <x:v>Présent</x:v>
      </x:c>
      <x:c r="L247" s="24" t="str">
        <x:v>Présent</x:v>
      </x:c>
      <x:c r="M247" s="24" t="str">
        <x:v>Présent</x:v>
      </x:c>
      <x:c r="N247" s="24" t="str">
        <x:v>Présent</x:v>
      </x:c>
      <x:c r="O247" s="24" t="str">
        <x:v>Présent</x:v>
      </x:c>
      <x:c r="P247" s="24" t="str">
        <x:v>Présent</x:v>
      </x:c>
      <x:c r="Q247" s="24" t="str">
        <x:v>Atlas</x:v>
      </x:c>
      <x:c r="R247" s="24" t="str">
        <x:v>Atlas</x:v>
      </x:c>
      <x:c r="S247" s="24" t="str">
        <x:v>Atlas</x:v>
      </x:c>
      <x:c r="T247" s="24" t="str">
        <x:v>Atlas</x:v>
      </x:c>
      <x:c r="U247" s="24" t="str">
        <x:v>Atlas</x:v>
      </x:c>
      <x:c r="V247" s="24" t="str">
        <x:v>Atlas</x:v>
      </x:c>
      <x:c r="W247" s="24" t="str">
        <x:v>6/6 actuelles</x:v>
      </x:c>
      <x:c r="X247" s="24" t="str">
        <x:v>6/6 actuelles</x:v>
      </x:c>
      <x:c r="Y247" s="24" t="str">
        <x:v>Non consignée</x:v>
      </x:c>
      <x:c r="Z247" s="24" t="str">
        <x:v>Périmée (0/6)</x:v>
      </x:c>
      <x:c r="AA247" s="23" t="str">
        <x:v>Validation navigateur passée. Publication exacte en attente de Thanh.</x:v>
      </x:c>
      <x:c r="AB247" s="21" t="str">
        <x:v>674f752f62b3179c8a21300c7796024f5935efc1</x:v>
      </x:c>
      <x:c r="AC247" s="21" t="str">
        <x:v>En cours</x:v>
      </x:c>
    </x:row>
    <x:row r="248" ht="40" customHeight="1">
      <x:c r="A248" s="22" t="str">
        <x:v>Vomir</x:v>
      </x:c>
      <x:c r="B248" s="22" t="str">
        <x:v>vomiting</x:v>
      </x:c>
      <x:c r="C248" s="26" t="n">
        <x:v>238</x:v>
      </x:c>
      <x:c r="D248" s="24" t="str">
        <x:v>Lot 13</x:v>
      </x:c>
      <x:c r="E248" s="25" t="str">
        <x:v>Corps</x:v>
      </x:c>
      <x:c r="F248" s="24" t="str">
        <x:f>IF(AND(G248=8,COUNTIF(Q248:V248,"Atlas")=6),"Intégré","À faire")</x:f>
        <x:v>Intégré</x:v>
      </x:c>
      <x:c r="G248" s="27" t="n">
        <x:f>COUNTIF(I248:P248,"Présent")</x:f>
        <x:v>8</x:v>
      </x:c>
      <x:c r="H248" s="24" t="str">
        <x:v>Archivé Drive</x:v>
      </x:c>
      <x:c r="I248" s="24" t="str">
        <x:v>Présent</x:v>
      </x:c>
      <x:c r="J248" s="24" t="str">
        <x:v>Présent</x:v>
      </x:c>
      <x:c r="K248" s="24" t="str">
        <x:v>Présent</x:v>
      </x:c>
      <x:c r="L248" s="24" t="str">
        <x:v>Présent</x:v>
      </x:c>
      <x:c r="M248" s="24" t="str">
        <x:v>Présent</x:v>
      </x:c>
      <x:c r="N248" s="24" t="str">
        <x:v>Présent</x:v>
      </x:c>
      <x:c r="O248" s="24" t="str">
        <x:v>Présent</x:v>
      </x:c>
      <x:c r="P248" s="24" t="str">
        <x:v>Présent</x:v>
      </x:c>
      <x:c r="Q248" s="24" t="str">
        <x:v>Atlas</x:v>
      </x:c>
      <x:c r="R248" s="24" t="str">
        <x:v>Atlas</x:v>
      </x:c>
      <x:c r="S248" s="24" t="str">
        <x:v>Atlas</x:v>
      </x:c>
      <x:c r="T248" s="24" t="str">
        <x:v>Atlas</x:v>
      </x:c>
      <x:c r="U248" s="24" t="str">
        <x:v>Atlas</x:v>
      </x:c>
      <x:c r="V248" s="24" t="str">
        <x:v>Atlas</x:v>
      </x:c>
      <x:c r="W248" s="24" t="str">
        <x:v>6/6 actuelles</x:v>
      </x:c>
      <x:c r="X248" s="24" t="str">
        <x:v>6/6 actuelles</x:v>
      </x:c>
      <x:c r="Y248" s="24" t="str">
        <x:v>Non consignée</x:v>
      </x:c>
      <x:c r="Z248" s="24" t="str">
        <x:v>Périmée (0/6)</x:v>
      </x:c>
      <x:c r="AA248" s="23" t="str">
        <x:v>Validation navigateur passée. Publication exacte en attente de Thanh.</x:v>
      </x:c>
      <x:c r="AB248" s="21" t="str">
        <x:v>674f752f62b3179c8a21300c7796024f5935efc1</x:v>
      </x:c>
      <x:c r="AC248" s="21" t="str">
        <x:v>En cours</x:v>
      </x:c>
    </x:row>
    <x:row r="249" ht="40" customHeight="1">
      <x:c r="A249" s="22" t="str">
        <x:v>Yeux</x:v>
      </x:c>
      <x:c r="B249" s="22" t="str">
        <x:v>eyes</x:v>
      </x:c>
      <x:c r="C249" s="26" t="n">
        <x:v>239</x:v>
      </x:c>
      <x:c r="D249" s="24" t="str">
        <x:v>Lot 11</x:v>
      </x:c>
      <x:c r="E249" s="25" t="str">
        <x:v>Corps</x:v>
      </x:c>
      <x:c r="F249" s="24" t="str">
        <x:f>IF(AND(G249=8,COUNTIF(Q249:V249,"Atlas")=6),"Intégré","À faire")</x:f>
        <x:v>Intégré</x:v>
      </x:c>
      <x:c r="G249" s="27" t="n">
        <x:f>COUNTIF(I249:P249,"Présent")</x:f>
        <x:v>8</x:v>
      </x:c>
      <x:c r="H249" s="24" t="str">
        <x:v>Archivé Drive</x:v>
      </x:c>
      <x:c r="I249" s="24" t="str">
        <x:v>Présent</x:v>
      </x:c>
      <x:c r="J249" s="24" t="str">
        <x:v>Présent</x:v>
      </x:c>
      <x:c r="K249" s="24" t="str">
        <x:v>Présent</x:v>
      </x:c>
      <x:c r="L249" s="24" t="str">
        <x:v>Présent</x:v>
      </x:c>
      <x:c r="M249" s="24" t="str">
        <x:v>Présent</x:v>
      </x:c>
      <x:c r="N249" s="24" t="str">
        <x:v>Présent</x:v>
      </x:c>
      <x:c r="O249" s="24" t="str">
        <x:v>Présent</x:v>
      </x:c>
      <x:c r="P249" s="24" t="str">
        <x:v>Présent</x:v>
      </x:c>
      <x:c r="Q249" s="24" t="str">
        <x:v>Atlas</x:v>
      </x:c>
      <x:c r="R249" s="24" t="str">
        <x:v>Atlas</x:v>
      </x:c>
      <x:c r="S249" s="24" t="str">
        <x:v>Atlas</x:v>
      </x:c>
      <x:c r="T249" s="24" t="str">
        <x:v>Atlas</x:v>
      </x:c>
      <x:c r="U249" s="24" t="str">
        <x:v>Atlas</x:v>
      </x:c>
      <x:c r="V249" s="24" t="str">
        <x:v>Atlas</x:v>
      </x:c>
      <x:c r="W249" s="24" t="str">
        <x:v>6/6 actuelles</x:v>
      </x:c>
      <x:c r="X249" s="24" t="str">
        <x:v>6/6 actuelles</x:v>
      </x:c>
      <x:c r="Y249" s="24" t="str">
        <x:v>Non consignée</x:v>
      </x:c>
      <x:c r="Z249" s="24" t="str">
        <x:v>Périmée (0/6)</x:v>
      </x:c>
      <x:c r="AA249" s="23" t="str">
        <x:v>Validation navigateur passée. Publication exacte en attente de Thanh.</x:v>
      </x:c>
      <x:c r="AB249" s="21" t="str">
        <x:v>674f752f62b3179c8a21300c7796024f5935efc1</x:v>
      </x:c>
      <x:c r="AC249" s="21" t="str">
        <x:v>En cours</x:v>
      </x:c>
    </x:row>
    <x:row r="250" ht="40" customHeight="1">
      <x:c r="A250" s="22" t="str">
        <x:v>Zombie</x:v>
      </x:c>
      <x:c r="B250" s="22" t="str">
        <x:v>zombie</x:v>
      </x:c>
      <x:c r="C250" s="26" t="n">
        <x:v>240</x:v>
      </x:c>
      <x:c r="D250" s="24" t="str">
        <x:v>Lot 11</x:v>
      </x:c>
      <x:c r="E250" s="25" t="str">
        <x:v>Personnes</x:v>
      </x:c>
      <x:c r="F250" s="24" t="str">
        <x:f>IF(AND(G250=8,COUNTIF(Q250:V250,"Atlas")=6),"Intégré","À faire")</x:f>
        <x:v>Intégré</x:v>
      </x:c>
      <x:c r="G250" s="27" t="n">
        <x:f>COUNTIF(I250:P250,"Présent")</x:f>
        <x:v>8</x:v>
      </x:c>
      <x:c r="H250" s="24" t="str">
        <x:v>Archivé Drive</x:v>
      </x:c>
      <x:c r="I250" s="24" t="str">
        <x:v>Présent</x:v>
      </x:c>
      <x:c r="J250" s="24" t="str">
        <x:v>Présent</x:v>
      </x:c>
      <x:c r="K250" s="24" t="str">
        <x:v>Présent</x:v>
      </x:c>
      <x:c r="L250" s="24" t="str">
        <x:v>Présent</x:v>
      </x:c>
      <x:c r="M250" s="24" t="str">
        <x:v>Présent</x:v>
      </x:c>
      <x:c r="N250" s="24" t="str">
        <x:v>Présent</x:v>
      </x:c>
      <x:c r="O250" s="24" t="str">
        <x:v>Présent</x:v>
      </x:c>
      <x:c r="P250" s="24" t="str">
        <x:v>Présent</x:v>
      </x:c>
      <x:c r="Q250" s="24" t="str">
        <x:v>Atlas</x:v>
      </x:c>
      <x:c r="R250" s="24" t="str">
        <x:v>Atlas</x:v>
      </x:c>
      <x:c r="S250" s="24" t="str">
        <x:v>Atlas</x:v>
      </x:c>
      <x:c r="T250" s="24" t="str">
        <x:v>Atlas</x:v>
      </x:c>
      <x:c r="U250" s="24" t="str">
        <x:v>Atlas</x:v>
      </x:c>
      <x:c r="V250" s="24" t="str">
        <x:v>Atlas</x:v>
      </x:c>
      <x:c r="W250" s="24" t="str">
        <x:v>6/6 actuelles</x:v>
      </x:c>
      <x:c r="X250" s="24" t="str">
        <x:v>6/6 actuelles</x:v>
      </x:c>
      <x:c r="Y250" s="24" t="str">
        <x:v>Non consignée</x:v>
      </x:c>
      <x:c r="Z250" s="24" t="str">
        <x:v>Périmée (0/6)</x:v>
      </x:c>
      <x:c r="AA250" s="23" t="str">
        <x:v>Validation navigateur passée. Publication exacte en attente de Thanh.</x:v>
      </x:c>
      <x:c r="AB250" s="21" t="str">
        <x:v>674f752f62b3179c8a21300c7796024f5935efc1</x:v>
      </x:c>
      <x:c r="AC250" s="21" t="str">
        <x:v>En cours</x:v>
      </x:c>
    </x:row>
  </x:sheetData>
  <x:conditionalFormatting sqref="F11:H250">
    <x:cfRule type="cellIs" dxfId="0" priority="1" operator="equal">
      <x:formula>"À faire"</x:formula>
    </x:cfRule>
    <x:cfRule type="cellIs" dxfId="1" priority="2" operator="equal">
      <x:formula>"À assembler"</x:formula>
    </x:cfRule>
    <x:cfRule type="cellIs" dxfId="2" priority="3" operator="equal">
      <x:formula>"Manquant"</x:formula>
    </x:cfRule>
    <x:cfRule type="cellIs" dxfId="3" priority="4" operator="equal">
      <x:formula>"À corriger"</x:formula>
    </x:cfRule>
    <x:cfRule type="cellIs" dxfId="4" priority="5" operator="equal">
      <x:formula>"À revoir"</x:formula>
    </x:cfRule>
    <x:cfRule type="cellIs" dxfId="5" priority="6" operator="equal">
      <x:formula>"À vérifier"</x:formula>
    </x:cfRule>
    <x:cfRule type="cellIs" dxfId="6" priority="7" operator="equal">
      <x:formula>"Historique"</x:formula>
    </x:cfRule>
    <x:cfRule type="cellIs" dxfId="7" priority="8" operator="equal">
      <x:formula>"Non consignée"</x:formula>
    </x:cfRule>
    <x:cfRule type="cellIs" dxfId="8" priority="9" operator="equal">
      <x:formula>"Preuve à revoir"</x:formula>
    </x:cfRule>
  </x:conditionalFormatting>
  <x:conditionalFormatting sqref="I11:P250">
    <x:cfRule type="cellIs" dxfId="9" priority="10" operator="equal">
      <x:formula>"À faire"</x:formula>
    </x:cfRule>
    <x:cfRule type="cellIs" dxfId="10" priority="11" operator="equal">
      <x:formula>"À assembler"</x:formula>
    </x:cfRule>
    <x:cfRule type="cellIs" dxfId="11" priority="12" operator="equal">
      <x:formula>"Manquant"</x:formula>
    </x:cfRule>
    <x:cfRule type="cellIs" dxfId="12" priority="13" operator="equal">
      <x:formula>"À corriger"</x:formula>
    </x:cfRule>
    <x:cfRule type="cellIs" dxfId="13" priority="14" operator="equal">
      <x:formula>"À revoir"</x:formula>
    </x:cfRule>
    <x:cfRule type="cellIs" dxfId="14" priority="15" operator="equal">
      <x:formula>"À vérifier"</x:formula>
    </x:cfRule>
    <x:cfRule type="cellIs" dxfId="15" priority="16" operator="equal">
      <x:formula>"Historique"</x:formula>
    </x:cfRule>
    <x:cfRule type="cellIs" dxfId="16" priority="17" operator="equal">
      <x:formula>"Non consignée"</x:formula>
    </x:cfRule>
    <x:cfRule type="cellIs" dxfId="17" priority="18" operator="equal">
      <x:formula>"Preuve à revoir"</x:formula>
    </x:cfRule>
  </x:conditionalFormatting>
  <x:conditionalFormatting sqref="Q11:Z250">
    <x:cfRule type="cellIs" dxfId="18" priority="19" operator="equal">
      <x:formula>"À faire"</x:formula>
    </x:cfRule>
    <x:cfRule type="cellIs" dxfId="19" priority="20" operator="equal">
      <x:formula>"À assembler"</x:formula>
    </x:cfRule>
    <x:cfRule type="cellIs" dxfId="20" priority="21" operator="equal">
      <x:formula>"Manquant"</x:formula>
    </x:cfRule>
    <x:cfRule type="cellIs" dxfId="21" priority="22" operator="equal">
      <x:formula>"À corriger"</x:formula>
    </x:cfRule>
    <x:cfRule type="cellIs" dxfId="22" priority="23" operator="equal">
      <x:formula>"À revoir"</x:formula>
    </x:cfRule>
    <x:cfRule type="cellIs" dxfId="23" priority="24" operator="equal">
      <x:formula>"À vérifier"</x:formula>
    </x:cfRule>
    <x:cfRule type="cellIs" dxfId="24" priority="25" operator="equal">
      <x:formula>"Historique"</x:formula>
    </x:cfRule>
    <x:cfRule type="cellIs" dxfId="25" priority="26" operator="equal">
      <x:formula>"Non consignée"</x:formula>
    </x:cfRule>
    <x:cfRule type="cellIs" dxfId="26" priority="27" operator="equal">
      <x:formula>"Preuve à revoir"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35598b33e1450e"/>
  </x:tableParts>
</x:worksheet>
</file>