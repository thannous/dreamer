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eb1bb4b2db44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f0f362f846cc44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1690f26eaa46eb" /><Relationship Type="http://schemas.openxmlformats.org/officeDocument/2006/relationships/theme" Target="/xl/theme/theme1.xml" Id="R5453632428cc47fe" /><Relationship Type="http://schemas.openxmlformats.org/officeDocument/2006/relationships/sharedStrings" Target="/xl/sharedStrings.xml" Id="R6e27ef81cb124a03" /><Relationship Type="http://schemas.openxmlformats.org/officeDocument/2006/relationships/worksheet" Target="/xl/worksheets/sheet1.xml" Id="Rf0f362f846cc441e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a56d21d265e4fa6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14 en branche : 10 couvertures conservées, 70 nouveaux PNG. Preuves antérieures inchangées conservées.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240</x:v>
      </x:c>
      <x:c r="C4" s="3" t="str">
        <x:v>Packs à terminer</x:v>
      </x:c>
      <x:c r="D4" s="9" t="n">
        <x:f>COUNTA(B11:B250)-B4</x:f>
        <x:v>0</x:v>
      </x:c>
      <x:c r="E4" s="3" t="str">
        <x:v>Pages avec pack</x:v>
      </x:c>
      <x:c r="F4" s="9" t="n">
        <x:f>COUNTIF(Q11:V250,"Atlas")</x:f>
        <x:v>1440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240</x:v>
      </x:c>
      <x:c r="C5" s="3" t="str">
        <x:v>QA 2560 px</x:v>
      </x:c>
      <x:c r="D5" s="9" t="n">
        <x:f>COUNTIF(X11:X250,"6/6 actuelles")</x:f>
        <x:v>240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240 packs ; 0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actuel, empreinte 09ab652d0f30effe. Révision : 3eadba5f121c1017c032929534d269c330aa5abb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Périmée (0/6)</x:v>
      </x:c>
      <x:c r="Z11" s="24" t="str">
        <x:v>Périmée (0/6)</x:v>
      </x:c>
      <x:c r="AA11" s="23" t="str">
        <x:v>QA actuelle. Accord non consigné ou périmé. Publication non consignée ou périmée.</x:v>
      </x:c>
      <x:c r="AB11" s="21" t="str">
        <x:v>34209f968444db816f75779cd5b876df002ae9d3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Périmée (0/6)</x:v>
      </x:c>
      <x:c r="Z12" s="24" t="str">
        <x:v>Périmée (0/6)</x:v>
      </x:c>
      <x:c r="AA12" s="23" t="str">
        <x:v>QA actuelle. Accord non consigné ou périmé. Publication non consignée ou périmée.</x:v>
      </x:c>
      <x:c r="AB12" s="21" t="str">
        <x:v>34209f968444db816f75779cd5b876df002ae9d3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Périmée (0/6)</x:v>
      </x:c>
      <x:c r="Z13" s="24" t="str">
        <x:v>Périmée (0/6)</x:v>
      </x:c>
      <x:c r="AA13" s="23" t="str">
        <x:v>QA actuelle. Accord non consigné ou périmé. Publication non consignée ou périmée.</x:v>
      </x:c>
      <x:c r="AB13" s="21" t="str">
        <x:v>34209f968444db816f75779cd5b876df002ae9d3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Périmée (0/6)</x:v>
      </x:c>
      <x:c r="Z14" s="24" t="str">
        <x:v>Périmée (0/6)</x:v>
      </x:c>
      <x:c r="AA14" s="23" t="str">
        <x:v>QA actuelle. Accord non consigné ou périmé. Publication non consignée ou périmée.</x:v>
      </x:c>
      <x:c r="AB14" s="21" t="str">
        <x:v>34209f968444db816f75779cd5b876df002ae9d3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Périmée (0/6)</x:v>
      </x:c>
      <x:c r="Z15" s="24" t="str">
        <x:v>Périmée (0/6)</x:v>
      </x:c>
      <x:c r="AA15" s="23" t="str">
        <x:v>QA actuelle. Accord non consigné ou périmé. Publication non consignée ou périmée.</x:v>
      </x:c>
      <x:c r="AB15" s="21" t="str">
        <x:v>34209f968444db816f75779cd5b876df002ae9d3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Périmée (0/6)</x:v>
      </x:c>
      <x:c r="Z16" s="24" t="str">
        <x:v>Périmée (0/6)</x:v>
      </x:c>
      <x:c r="AA16" s="23" t="str">
        <x:v>QA actuelle. Accord non consigné ou périmé. Publication non consignée ou périmée.</x:v>
      </x:c>
      <x:c r="AB16" s="21" t="str">
        <x:v>34209f968444db816f75779cd5b876df002ae9d3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Périmée (0/6)</x:v>
      </x:c>
      <x:c r="Z17" s="24" t="str">
        <x:v>Périmée (0/6)</x:v>
      </x:c>
      <x:c r="AA17" s="23" t="str">
        <x:v>QA actuelle. Accord non consigné ou périmé. Publication non consignée ou périmée.</x:v>
      </x:c>
      <x:c r="AB17" s="21" t="str">
        <x:v>34209f968444db816f75779cd5b876df002ae9d3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Périmée (0/6)</x:v>
      </x:c>
      <x:c r="Z18" s="24" t="str">
        <x:v>Périmée (0/6)</x:v>
      </x:c>
      <x:c r="AA18" s="23" t="str">
        <x:v>QA actuelle. Accord non consigné ou périmé. Publication non consignée ou périmée.</x:v>
      </x:c>
      <x:c r="AB18" s="21" t="str">
        <x:v>34209f968444db816f75779cd5b876df002ae9d3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Périmée (0/6)</x:v>
      </x:c>
      <x:c r="Z19" s="24" t="str">
        <x:v>Périmée (0/6)</x:v>
      </x:c>
      <x:c r="AA19" s="23" t="str">
        <x:v>QA actuelle. Accord non consigné ou périmé. Publication non consignée ou périmée.</x:v>
      </x:c>
      <x:c r="AB19" s="21" t="str">
        <x:v>34209f968444db816f75779cd5b876df002ae9d3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Périmée (0/6)</x:v>
      </x:c>
      <x:c r="Z20" s="24" t="str">
        <x:v>Périmée (0/6)</x:v>
      </x:c>
      <x:c r="AA20" s="23" t="str">
        <x:v>QA actuelle. Accord non consigné ou périmé. Publication non consignée ou périmée.</x:v>
      </x:c>
      <x:c r="AB20" s="21" t="str">
        <x:v>34209f968444db816f75779cd5b876df002ae9d3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Périmée (0/6)</x:v>
      </x:c>
      <x:c r="Z21" s="24" t="str">
        <x:v>Périmée (0/6)</x:v>
      </x:c>
      <x:c r="AA21" s="23" t="str">
        <x:v>QA actuelle. Accord non consigné ou périmé. Publication non consignée ou périmée.</x:v>
      </x:c>
      <x:c r="AB21" s="21" t="str">
        <x:v>34209f968444db816f75779cd5b876df002ae9d3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Périmée (0/6)</x:v>
      </x:c>
      <x:c r="Z22" s="24" t="str">
        <x:v>Périmée (0/6)</x:v>
      </x:c>
      <x:c r="AA22" s="23" t="str">
        <x:v>QA actuelle. Accord non consigné ou périmé. Publication non consignée ou périmée.</x:v>
      </x:c>
      <x:c r="AB22" s="21" t="str">
        <x:v>34209f968444db816f75779cd5b876df002ae9d3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Périmée (0/6)</x:v>
      </x:c>
      <x:c r="Z23" s="24" t="str">
        <x:v>Périmée (0/6)</x:v>
      </x:c>
      <x:c r="AA23" s="23" t="str">
        <x:v>QA actuelle. Accord non consigné ou périmé. Publication non consignée ou périmée.</x:v>
      </x:c>
      <x:c r="AB23" s="21" t="str">
        <x:v>34209f968444db816f75779cd5b876df002ae9d3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Périmée (0/6)</x:v>
      </x:c>
      <x:c r="Z24" s="24" t="str">
        <x:v>Périmée (0/6)</x:v>
      </x:c>
      <x:c r="AA24" s="23" t="str">
        <x:v>QA actuelle. Accord non consigné ou périmé. Publication non consignée ou périmée.</x:v>
      </x:c>
      <x:c r="AB24" s="21" t="str">
        <x:v>34209f968444db816f75779cd5b876df002ae9d3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Périmée (0/6)</x:v>
      </x:c>
      <x:c r="Z25" s="24" t="str">
        <x:v>Périmée (0/6)</x:v>
      </x:c>
      <x:c r="AA25" s="23" t="str">
        <x:v>QA actuelle. Accord non consigné ou périmé. Publication non consignée ou périmée.</x:v>
      </x:c>
      <x:c r="AB25" s="21" t="str">
        <x:v>34209f968444db816f75779cd5b876df002ae9d3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Périmée (0/6)</x:v>
      </x:c>
      <x:c r="Z26" s="24" t="str">
        <x:v>Périmée (0/6)</x:v>
      </x:c>
      <x:c r="AA26" s="23" t="str">
        <x:v>QA actuelle. Accord non consigné ou périmé. Publication non consignée ou périmée.</x:v>
      </x:c>
      <x:c r="AB26" s="21" t="str">
        <x:v>34209f968444db816f75779cd5b876df002ae9d3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Périmée (0/6)</x:v>
      </x:c>
      <x:c r="Z27" s="24" t="str">
        <x:v>Périmée (0/6)</x:v>
      </x:c>
      <x:c r="AA27" s="23" t="str">
        <x:v>QA actuelle. Accord non consigné ou périmé. Publication non consignée ou périmée.</x:v>
      </x:c>
      <x:c r="AB27" s="21" t="str">
        <x:v>34209f968444db816f75779cd5b876df002ae9d3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Périmée (0/6)</x:v>
      </x:c>
      <x:c r="Z28" s="24" t="str">
        <x:v>Périmée (0/6)</x:v>
      </x:c>
      <x:c r="AA28" s="23" t="str">
        <x:v>QA actuelle. Accord non consigné ou périmé. Publication non consignée ou périmée.</x:v>
      </x:c>
      <x:c r="AB28" s="21" t="str">
        <x:v>34209f968444db816f75779cd5b876df002ae9d3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Périmée (0/6)</x:v>
      </x:c>
      <x:c r="Z29" s="24" t="str">
        <x:v>Périmée (0/6)</x:v>
      </x:c>
      <x:c r="AA29" s="23" t="str">
        <x:v>QA actuelle. Accord non consigné ou périmé. Publication non consignée ou périmée.</x:v>
      </x:c>
      <x:c r="AB29" s="21" t="str">
        <x:v>34209f968444db816f75779cd5b876df002ae9d3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Périmée (0/6)</x:v>
      </x:c>
      <x:c r="Z30" s="24" t="str">
        <x:v>Périmée (0/6)</x:v>
      </x:c>
      <x:c r="AA30" s="23" t="str">
        <x:v>QA actuelle. Accord non consigné ou périmé. Publication non consignée ou périmée.</x:v>
      </x:c>
      <x:c r="AB30" s="21" t="str">
        <x:v>34209f968444db816f75779cd5b876df002ae9d3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Périmée (0/6)</x:v>
      </x:c>
      <x:c r="Z31" s="24" t="str">
        <x:v>Périmée (0/6)</x:v>
      </x:c>
      <x:c r="AA31" s="23" t="str">
        <x:v>QA actuelle. Accord non consigné ou périmé. Publication non consignée ou périmée.</x:v>
      </x:c>
      <x:c r="AB31" s="21" t="str">
        <x:v>34209f968444db816f75779cd5b876df002ae9d3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Périmée (0/6)</x:v>
      </x:c>
      <x:c r="Z32" s="24" t="str">
        <x:v>Périmée (0/6)</x:v>
      </x:c>
      <x:c r="AA32" s="23" t="str">
        <x:v>QA actuelle. Accord non consigné ou périmé. Publication non consignée ou périmée.</x:v>
      </x:c>
      <x:c r="AB32" s="21" t="str">
        <x:v>34209f968444db816f75779cd5b876df002ae9d3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Périmée (0/6)</x:v>
      </x:c>
      <x:c r="Z33" s="24" t="str">
        <x:v>Périmée (0/6)</x:v>
      </x:c>
      <x:c r="AA33" s="23" t="str">
        <x:v>QA actuelle. Accord non consigné ou périmé. Publication non consignée ou périmée.</x:v>
      </x:c>
      <x:c r="AB33" s="21" t="str">
        <x:v>34209f968444db816f75779cd5b876df002ae9d3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Périmée (0/6)</x:v>
      </x:c>
      <x:c r="Z34" s="24" t="str">
        <x:v>Périmée (0/6)</x:v>
      </x:c>
      <x:c r="AA34" s="23" t="str">
        <x:v>QA actuelle. Accord non consigné ou périmé. Publication non consignée ou périmée.</x:v>
      </x:c>
      <x:c r="AB34" s="21" t="str">
        <x:v>34209f968444db816f75779cd5b876df002ae9d3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13</x:v>
      </x:c>
      <x:c r="E35" s="25" t="str">
        <x:v>Corps</x:v>
      </x:c>
      <x:c r="F35" s="24" t="str">
        <x:f>IF(AND(G35=8,COUNTIF(Q35:V35,"Atlas")=6),"Intégré","À faire")</x:f>
        <x:v>Intégré</x:v>
      </x:c>
      <x:c r="G35" s="27" t="n">
        <x:f>COUNTIF(I35:P35,"Présent")</x:f>
        <x:v>8</x:v>
      </x:c>
      <x:c r="H35" s="24" t="str">
        <x:v>Archivé Drive</x:v>
      </x:c>
      <x:c r="I35" s="24" t="str">
        <x:v>Présent</x:v>
      </x:c>
      <x:c r="J35" s="24" t="str">
        <x:v>Présent</x:v>
      </x:c>
      <x:c r="K35" s="24" t="str">
        <x:v>Présent</x:v>
      </x:c>
      <x:c r="L35" s="24" t="str">
        <x:v>Présent</x:v>
      </x:c>
      <x:c r="M35" s="24" t="str">
        <x:v>Présent</x:v>
      </x:c>
      <x:c r="N35" s="24" t="str">
        <x:v>Présent</x:v>
      </x:c>
      <x:c r="O35" s="24" t="str">
        <x:v>Présent</x:v>
      </x:c>
      <x:c r="P35" s="24" t="str">
        <x:v>Présent</x:v>
      </x:c>
      <x:c r="Q35" s="24" t="str">
        <x:v>Atlas</x:v>
      </x:c>
      <x:c r="R35" s="24" t="str">
        <x:v>Atlas</x:v>
      </x:c>
      <x:c r="S35" s="24" t="str">
        <x:v>Atlas</x:v>
      </x:c>
      <x:c r="T35" s="24" t="str">
        <x:v>Atlas</x:v>
      </x:c>
      <x:c r="U35" s="24" t="str">
        <x:v>Atlas</x:v>
      </x:c>
      <x:c r="V35" s="24" t="str">
        <x:v>Atlas</x:v>
      </x:c>
      <x:c r="W35" s="24" t="str">
        <x:v>6/6 actuelles</x:v>
      </x:c>
      <x:c r="X35" s="24" t="str">
        <x:v>6/6 actuelles</x:v>
      </x:c>
      <x:c r="Y35" s="24" t="str">
        <x:v>Non consignée</x:v>
      </x:c>
      <x:c r="Z35" s="24" t="str">
        <x:v>Périmée (0/6)</x:v>
      </x:c>
      <x:c r="AA35" s="23" t="str">
        <x:v>QA actuelle. Accord non consigné ou périmé. Publication non consignée ou périmée.</x:v>
      </x:c>
      <x:c r="AB35" s="21" t="str">
        <x:v>e03821783020a61aeaaa58d22886e2118781efaa</x:v>
      </x:c>
      <x:c r="AC35" s="21" t="str">
        <x:v>En cours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Périmée (0/6)</x:v>
      </x:c>
      <x:c r="Z36" s="24" t="str">
        <x:v>Périmée (0/6)</x:v>
      </x:c>
      <x:c r="AA36" s="23" t="str">
        <x:v>QA actuelle. Accord non consigné ou périmé. Publication non consignée ou périmée.</x:v>
      </x:c>
      <x:c r="AB36" s="21" t="str">
        <x:v>34209f968444db816f75779cd5b876df002ae9d3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12 (master)</x:v>
      </x:c>
      <x:c r="E37" s="25" t="str">
        <x:v>Animaux</x:v>
      </x:c>
      <x:c r="F37" s="24" t="str">
        <x:f>IF(AND(G37=8,COUNTIF(Q37:V37,"Atlas")=6),"Intégré","À faire")</x:f>
        <x:v>Intégré</x:v>
      </x:c>
      <x:c r="G37" s="27" t="n">
        <x:f>COUNTIF(I37:P37,"Présent")</x:f>
        <x:v>8</x:v>
      </x:c>
      <x:c r="H37" s="24" t="str">
        <x:v>Réutilisé master #509</x:v>
      </x:c>
      <x:c r="I37" s="24" t="str">
        <x:v>Présent</x:v>
      </x:c>
      <x:c r="J37" s="24" t="str">
        <x:v>Présent</x:v>
      </x:c>
      <x:c r="K37" s="24" t="str">
        <x:v>Présent</x:v>
      </x:c>
      <x:c r="L37" s="24" t="str">
        <x:v>Présent</x:v>
      </x:c>
      <x:c r="M37" s="24" t="str">
        <x:v>Présent</x:v>
      </x:c>
      <x:c r="N37" s="24" t="str">
        <x:v>Présent</x:v>
      </x:c>
      <x:c r="O37" s="24" t="str">
        <x:v>Présent</x:v>
      </x:c>
      <x:c r="P37" s="24" t="str">
        <x:v>Présent</x:v>
      </x:c>
      <x:c r="Q37" s="24" t="str">
        <x:v>Atlas</x:v>
      </x:c>
      <x:c r="R37" s="24" t="str">
        <x:v>Atlas</x:v>
      </x:c>
      <x:c r="S37" s="24" t="str">
        <x:v>Atlas</x:v>
      </x:c>
      <x:c r="T37" s="24" t="str">
        <x:v>Atlas</x:v>
      </x:c>
      <x:c r="U37" s="24" t="str">
        <x:v>Atlas</x:v>
      </x:c>
      <x:c r="V37" s="24" t="str">
        <x:v>Atlas</x:v>
      </x:c>
      <x:c r="W37" s="24" t="str">
        <x:v>6/6 actuelles</x:v>
      </x:c>
      <x:c r="X37" s="24" t="str">
        <x:v>6/6 actuelles</x:v>
      </x:c>
      <x:c r="Y37" s="24" t="str">
        <x:v>Non consignée</x:v>
      </x:c>
      <x:c r="Z37" s="24" t="str">
        <x:v>Périmée (0/6)</x:v>
      </x:c>
      <x:c r="AA37" s="23" t="str">
        <x:v>QA actuelle. Accord non consigné ou périmé. Publication non consignée ou périmée.</x:v>
      </x:c>
      <x:c r="AB37" s="21" t="str">
        <x:v>34209f968444db816f75779cd5b876df002ae9d3</x:v>
      </x:c>
      <x:c r="AC37" s="21" t="str">
        <x:v>En cours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QA actuelle. Accord non consigné ou périmé. Publication non consignée ou périmée.</x:v>
      </x:c>
      <x:c r="AB38" s="21" t="str">
        <x:v>34209f968444db816f75779cd5b876df002ae9d3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Périmée (0/6)</x:v>
      </x:c>
      <x:c r="Z39" s="24" t="str">
        <x:v>Périmée (0/6)</x:v>
      </x:c>
      <x:c r="AA39" s="23" t="str">
        <x:v>QA actuelle. Accord non consigné ou périmé. Publication non consignée ou périmée.</x:v>
      </x:c>
      <x:c r="AB39" s="21" t="str">
        <x:v>34209f968444db816f75779cd5b876df002ae9d3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Périmée (0/6)</x:v>
      </x:c>
      <x:c r="Z40" s="24" t="str">
        <x:v>Périmée (0/6)</x:v>
      </x:c>
      <x:c r="AA40" s="23" t="str">
        <x:v>QA actuelle. Accord non consigné ou périmé. Publication non consignée ou périmée.</x:v>
      </x:c>
      <x:c r="AB40" s="21" t="str">
        <x:v>34209f968444db816f75779cd5b876df002ae9d3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Périmée (0/6)</x:v>
      </x:c>
      <x:c r="Z41" s="24" t="str">
        <x:v>Périmée (0/6)</x:v>
      </x:c>
      <x:c r="AA41" s="23" t="str">
        <x:v>QA actuelle. Accord non consigné ou périmé. Publication non consignée ou périmée.</x:v>
      </x:c>
      <x:c r="AB41" s="21" t="str">
        <x:v>34209f968444db816f75779cd5b876df002ae9d3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Périmée (0/6)</x:v>
      </x:c>
      <x:c r="Z42" s="24" t="str">
        <x:v>Périmée (0/6)</x:v>
      </x:c>
      <x:c r="AA42" s="23" t="str">
        <x:v>QA actuelle. Accord non consigné ou périmé. Publication non consignée ou périmée.</x:v>
      </x:c>
      <x:c r="AB42" s="21" t="str">
        <x:v>34209f968444db816f75779cd5b876df002ae9d3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Périmée (0/6)</x:v>
      </x:c>
      <x:c r="Z43" s="24" t="str">
        <x:v>Périmée (0/6)</x:v>
      </x:c>
      <x:c r="AA43" s="23" t="str">
        <x:v>QA actuelle. Accord non consigné ou périmé. Publication non consignée ou périmée.</x:v>
      </x:c>
      <x:c r="AB43" s="21" t="str">
        <x:v>34209f968444db816f75779cd5b876df002ae9d3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Périmée (0/6)</x:v>
      </x:c>
      <x:c r="Z44" s="24" t="str">
        <x:v>Périmée (0/6)</x:v>
      </x:c>
      <x:c r="AA44" s="23" t="str">
        <x:v>QA actuelle. Accord non consigné ou périmé. Publication non consignée ou périmée.</x:v>
      </x:c>
      <x:c r="AB44" s="21" t="str">
        <x:v>34209f968444db816f75779cd5b876df002ae9d3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Périmée (0/6)</x:v>
      </x:c>
      <x:c r="Z45" s="24" t="str">
        <x:v>Périmée (0/6)</x:v>
      </x:c>
      <x:c r="AA45" s="23" t="str">
        <x:v>QA actuelle. Accord non consigné ou périmé. Publication non consignée ou périmée.</x:v>
      </x:c>
      <x:c r="AB45" s="21" t="str">
        <x:v>34209f968444db816f75779cd5b876df002ae9d3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Périmée (0/6)</x:v>
      </x:c>
      <x:c r="Z46" s="24" t="str">
        <x:v>Périmée (0/6)</x:v>
      </x:c>
      <x:c r="AA46" s="23" t="str">
        <x:v>QA actuelle. Accord non consigné ou périmé. Publication non consignée ou périmée.</x:v>
      </x:c>
      <x:c r="AB46" s="21" t="str">
        <x:v>34209f968444db816f75779cd5b876df002ae9d3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Périmée (0/6)</x:v>
      </x:c>
      <x:c r="Z47" s="24" t="str">
        <x:v>Périmée (0/6)</x:v>
      </x:c>
      <x:c r="AA47" s="23" t="str">
        <x:v>QA actuelle. Accord non consigné ou périmé. Publication non consignée ou périmée.</x:v>
      </x:c>
      <x:c r="AB47" s="21" t="str">
        <x:v>34209f968444db816f75779cd5b876df002ae9d3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Périmée (0/6)</x:v>
      </x:c>
      <x:c r="Z48" s="24" t="str">
        <x:v>Périmée (0/6)</x:v>
      </x:c>
      <x:c r="AA48" s="23" t="str">
        <x:v>QA actuelle. Accord non consigné ou périmé. Publication non consignée ou périmée.</x:v>
      </x:c>
      <x:c r="AB48" s="21" t="str">
        <x:v>34209f968444db816f75779cd5b876df002ae9d3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Périmée (0/6)</x:v>
      </x:c>
      <x:c r="Z49" s="24" t="str">
        <x:v>Périmée (0/6)</x:v>
      </x:c>
      <x:c r="AA49" s="23" t="str">
        <x:v>QA actuelle. Accord non consigné ou périmé. Publication non consignée ou périmée.</x:v>
      </x:c>
      <x:c r="AB49" s="21" t="str">
        <x:v>34209f968444db816f75779cd5b876df002ae9d3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Périmée (0/6)</x:v>
      </x:c>
      <x:c r="Z50" s="24" t="str">
        <x:v>Périmée (0/6)</x:v>
      </x:c>
      <x:c r="AA50" s="23" t="str">
        <x:v>QA actuelle. Accord non consigné ou périmé. Publication non consignée ou périmée.</x:v>
      </x:c>
      <x:c r="AB50" s="21" t="str">
        <x:v>34209f968444db816f75779cd5b876df002ae9d3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Périmée (0/6)</x:v>
      </x:c>
      <x:c r="AA51" s="23" t="str">
        <x:v>QA actuelle. Accord non consigné ou périmé. Publication non consignée ou périmée.</x:v>
      </x:c>
      <x:c r="AB51" s="21" t="str">
        <x:v>34209f968444db816f75779cd5b876df002ae9d3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Périmée (0/6)</x:v>
      </x:c>
      <x:c r="AA52" s="23" t="str">
        <x:v>QA actuelle. Accord non consigné ou périmé. Publication non consignée ou périmée.</x:v>
      </x:c>
      <x:c r="AB52" s="21" t="str">
        <x:v>34209f968444db816f75779cd5b876df002ae9d3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Périmée (0/6)</x:v>
      </x:c>
      <x:c r="AA53" s="23" t="str">
        <x:v>QA actuelle. Accord non consigné ou périmé. Publication non consignée ou périmée.</x:v>
      </x:c>
      <x:c r="AB53" s="21" t="str">
        <x:v>34209f968444db816f75779cd5b876df002ae9d3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Périmée (0/6)</x:v>
      </x:c>
      <x:c r="AA54" s="23" t="str">
        <x:v>QA actuelle. Accord non consigné ou périmé. Publication non consignée ou périmée.</x:v>
      </x:c>
      <x:c r="AB54" s="21" t="str">
        <x:v>34209f968444db816f75779cd5b876df002ae9d3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Périmée (0/6)</x:v>
      </x:c>
      <x:c r="AA55" s="23" t="str">
        <x:v>QA actuelle. Accord non consigné ou périmé. Publication non consignée ou périmée.</x:v>
      </x:c>
      <x:c r="AB55" s="21" t="str">
        <x:v>34209f968444db816f75779cd5b876df002ae9d3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Périmée (0/6)</x:v>
      </x:c>
      <x:c r="AA56" s="23" t="str">
        <x:v>QA actuelle. Accord non consigné ou périmé. Publication non consignée ou périmée.</x:v>
      </x:c>
      <x:c r="AB56" s="21" t="str">
        <x:v>34209f968444db816f75779cd5b876df002ae9d3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Périmée (0/6)</x:v>
      </x:c>
      <x:c r="AA57" s="23" t="str">
        <x:v>QA actuelle. Accord non consigné ou périmé. Publication non consignée ou périmée.</x:v>
      </x:c>
      <x:c r="AB57" s="21" t="str">
        <x:v>34209f968444db816f75779cd5b876df002ae9d3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Périmée (0/6)</x:v>
      </x:c>
      <x:c r="AA58" s="23" t="str">
        <x:v>QA actuelle. Accord non consigné ou périmé. Publication non consignée ou périmée.</x:v>
      </x:c>
      <x:c r="AB58" s="21" t="str">
        <x:v>34209f968444db816f75779cd5b876df002ae9d3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Périmée (0/6)</x:v>
      </x:c>
      <x:c r="AA59" s="23" t="str">
        <x:v>QA actuelle. Accord non consigné ou périmé. Publication non consignée ou périmée.</x:v>
      </x:c>
      <x:c r="AB59" s="21" t="str">
        <x:v>34209f968444db816f75779cd5b876df002ae9d3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Périmée (0/6)</x:v>
      </x:c>
      <x:c r="AA60" s="23" t="str">
        <x:v>QA actuelle. Accord non consigné ou périmé. Publication non consignée ou périmée.</x:v>
      </x:c>
      <x:c r="AB60" s="21" t="str">
        <x:v>34209f968444db816f75779cd5b876df002ae9d3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Périmée (0/6)</x:v>
      </x:c>
      <x:c r="AA61" s="23" t="str">
        <x:v>QA actuelle. Accord non consigné ou périmé. Publication non consignée ou périmée.</x:v>
      </x:c>
      <x:c r="AB61" s="21" t="str">
        <x:v>34209f968444db816f75779cd5b876df002ae9d3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Périmée (0/6)</x:v>
      </x:c>
      <x:c r="AA62" s="23" t="str">
        <x:v>QA actuelle. Accord non consigné ou périmé. Publication non consignée ou périmée.</x:v>
      </x:c>
      <x:c r="AB62" s="21" t="str">
        <x:v>34209f968444db816f75779cd5b876df002ae9d3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Périmée (0/6)</x:v>
      </x:c>
      <x:c r="AA63" s="23" t="str">
        <x:v>QA actuelle. Accord non consigné ou périmé. Publication non consignée ou périmée.</x:v>
      </x:c>
      <x:c r="AB63" s="21" t="str">
        <x:v>34209f968444db816f75779cd5b876df002ae9d3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Périmée (0/6)</x:v>
      </x:c>
      <x:c r="AA64" s="23" t="str">
        <x:v>QA actuelle. Accord non consigné ou périmé. Publication non consignée ou périmée.</x:v>
      </x:c>
      <x:c r="AB64" s="21" t="str">
        <x:v>34209f968444db816f75779cd5b876df002ae9d3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Périmée (0/6)</x:v>
      </x:c>
      <x:c r="AA65" s="23" t="str">
        <x:v>QA actuelle. Accord non consigné ou périmé. Publication non consignée ou périmée.</x:v>
      </x:c>
      <x:c r="AB65" s="21" t="str">
        <x:v>34209f968444db816f75779cd5b876df002ae9d3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Périmée (0/6)</x:v>
      </x:c>
      <x:c r="AA66" s="23" t="str">
        <x:v>QA actuelle. Accord non consigné ou périmé. Publication non consignée ou périmée.</x:v>
      </x:c>
      <x:c r="AB66" s="21" t="str">
        <x:v>34209f968444db816f75779cd5b876df002ae9d3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Périmée (0/6)</x:v>
      </x:c>
      <x:c r="AA67" s="23" t="str">
        <x:v>QA actuelle. Accord non consigné ou périmé. Publication non consignée ou périmée.</x:v>
      </x:c>
      <x:c r="AB67" s="21" t="str">
        <x:v>34209f968444db816f75779cd5b876df002ae9d3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Périmée (0/6)</x:v>
      </x:c>
      <x:c r="AA68" s="23" t="str">
        <x:v>QA actuelle. Accord non consigné ou périmé. Publication non consignée ou périmée.</x:v>
      </x:c>
      <x:c r="AB68" s="21" t="str">
        <x:v>34209f968444db816f75779cd5b876df002ae9d3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Périmée (0/6)</x:v>
      </x:c>
      <x:c r="AA69" s="23" t="str">
        <x:v>QA actuelle. Accord non consigné ou périmé. Publication non consignée ou périmée.</x:v>
      </x:c>
      <x:c r="AB69" s="21" t="str">
        <x:v>34209f968444db816f75779cd5b876df002ae9d3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Périmée (0/6)</x:v>
      </x:c>
      <x:c r="AA70" s="23" t="str">
        <x:v>QA actuelle. Accord non consigné ou périmé. Publication non consignée ou périmée.</x:v>
      </x:c>
      <x:c r="AB70" s="21" t="str">
        <x:v>34209f968444db816f75779cd5b876df002ae9d3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Périmée (0/6)</x:v>
      </x:c>
      <x:c r="AA71" s="23" t="str">
        <x:v>QA actuelle. Accord non consigné ou périmé. Publication non consignée ou périmée.</x:v>
      </x:c>
      <x:c r="AB71" s="21" t="str">
        <x:v>34209f968444db816f75779cd5b876df002ae9d3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Périmée (0/6)</x:v>
      </x:c>
      <x:c r="AA72" s="23" t="str">
        <x:v>QA actuelle. Accord non consigné ou périmé. Publication non consignée ou périmée.</x:v>
      </x:c>
      <x:c r="AB72" s="21" t="str">
        <x:v>34209f968444db816f75779cd5b876df002ae9d3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Périmée (0/6)</x:v>
      </x:c>
      <x:c r="AA73" s="23" t="str">
        <x:v>QA actuelle. Accord non consigné ou périmé. Publication non consignée ou périmée.</x:v>
      </x:c>
      <x:c r="AB73" s="21" t="str">
        <x:v>34209f968444db816f75779cd5b876df002ae9d3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Périmée (0/6)</x:v>
      </x:c>
      <x:c r="AA74" s="23" t="str">
        <x:v>QA actuelle. Accord non consigné ou périmé. Publication non consignée ou périmée.</x:v>
      </x:c>
      <x:c r="AB74" s="21" t="str">
        <x:v>34209f968444db816f75779cd5b876df002ae9d3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Périmée (0/6)</x:v>
      </x:c>
      <x:c r="AA75" s="23" t="str">
        <x:v>QA actuelle. Accord non consigné ou périmé. Publication non consignée ou périmée.</x:v>
      </x:c>
      <x:c r="AB75" s="21" t="str">
        <x:v>34209f968444db816f75779cd5b876df002ae9d3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Périmée (0/6)</x:v>
      </x:c>
      <x:c r="AA76" s="23" t="str">
        <x:v>QA actuelle. Accord non consigné ou périmé. Publication non consignée ou périmée.</x:v>
      </x:c>
      <x:c r="AB76" s="21" t="str">
        <x:v>34209f968444db816f75779cd5b876df002ae9d3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Périmée (0/6)</x:v>
      </x:c>
      <x:c r="AA77" s="23" t="str">
        <x:v>QA actuelle. Accord non consigné ou périmé. Publication non consignée ou périmée.</x:v>
      </x:c>
      <x:c r="AB77" s="21" t="str">
        <x:v>34209f968444db816f75779cd5b876df002ae9d3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Périmée (0/6)</x:v>
      </x:c>
      <x:c r="AA78" s="23" t="str">
        <x:v>QA actuelle. Accord non consigné ou périmé. Publication non consignée ou périmée.</x:v>
      </x:c>
      <x:c r="AB78" s="21" t="str">
        <x:v>34209f968444db816f75779cd5b876df002ae9d3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Périmée (0/6)</x:v>
      </x:c>
      <x:c r="AA79" s="23" t="str">
        <x:v>QA actuelle. Accord non consigné ou périmé. Publication non consignée ou périmée.</x:v>
      </x:c>
      <x:c r="AB79" s="21" t="str">
        <x:v>34209f968444db816f75779cd5b876df002ae9d3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Périmée (0/6)</x:v>
      </x:c>
      <x:c r="AA80" s="23" t="str">
        <x:v>QA actuelle. Accord non consigné ou périmé. Publication non consignée ou périmée.</x:v>
      </x:c>
      <x:c r="AB80" s="21" t="str">
        <x:v>34209f968444db816f75779cd5b876df002ae9d3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Périmée (0/6)</x:v>
      </x:c>
      <x:c r="AA81" s="23" t="str">
        <x:v>QA actuelle. Accord non consigné ou périmé. Publication non consignée ou périmée.</x:v>
      </x:c>
      <x:c r="AB81" s="21" t="str">
        <x:v>34209f968444db816f75779cd5b876df002ae9d3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Périmée (0/6)</x:v>
      </x:c>
      <x:c r="AA82" s="23" t="str">
        <x:v>QA actuelle. Accord non consigné ou périmé. Publication non consignée ou périmée.</x:v>
      </x:c>
      <x:c r="AB82" s="21" t="str">
        <x:v>34209f968444db816f75779cd5b876df002ae9d3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Périmée (0/6)</x:v>
      </x:c>
      <x:c r="AA83" s="23" t="str">
        <x:v>QA actuelle. Accord non consigné ou périmé. Publication non consignée ou périmée.</x:v>
      </x:c>
      <x:c r="AB83" s="21" t="str">
        <x:v>34209f968444db816f75779cd5b876df002ae9d3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Périmée (0/6)</x:v>
      </x:c>
      <x:c r="AA84" s="23" t="str">
        <x:v>QA actuelle. Accord non consigné ou périmé. Publication non consignée ou périmée.</x:v>
      </x:c>
      <x:c r="AB84" s="21" t="str">
        <x:v>34209f968444db816f75779cd5b876df002ae9d3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Périmée (0/6)</x:v>
      </x:c>
      <x:c r="AA85" s="23" t="str">
        <x:v>QA actuelle. Accord non consigné ou périmé. Publication non consignée ou périmée.</x:v>
      </x:c>
      <x:c r="AB85" s="21" t="str">
        <x:v>34209f968444db816f75779cd5b876df002ae9d3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Périmée (0/6)</x:v>
      </x:c>
      <x:c r="AA86" s="23" t="str">
        <x:v>QA actuelle. Accord non consigné ou périmé. Publication non consignée ou périmée.</x:v>
      </x:c>
      <x:c r="AB86" s="21" t="str">
        <x:v>34209f968444db816f75779cd5b876df002ae9d3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Périmée (0/6)</x:v>
      </x:c>
      <x:c r="AA87" s="23" t="str">
        <x:v>QA actuelle. Accord non consigné ou périmé. Publication non consignée ou périmée.</x:v>
      </x:c>
      <x:c r="AB87" s="21" t="str">
        <x:v>34209f968444db816f75779cd5b876df002ae9d3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Périmée (0/6)</x:v>
      </x:c>
      <x:c r="AA88" s="23" t="str">
        <x:v>QA actuelle. Accord non consigné ou périmé. Publication non consignée ou périmée.</x:v>
      </x:c>
      <x:c r="AB88" s="21" t="str">
        <x:v>34209f968444db816f75779cd5b876df002ae9d3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QA actuelle. Accord non consigné ou périmé. Publication non consignée ou périmée.</x:v>
      </x:c>
      <x:c r="AB89" s="21" t="str">
        <x:v>34209f968444db816f75779cd5b876df002ae9d3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Lot 12 (master)</x:v>
      </x:c>
      <x:c r="E90" s="25" t="str">
        <x:v>Animaux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Réutilisé master #509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Périmée (0/6)</x:v>
      </x:c>
      <x:c r="AA90" s="23" t="str">
        <x:v>QA actuelle. Accord non consigné ou périmé. Publication non consignée ou périmée.</x:v>
      </x:c>
      <x:c r="AB90" s="21" t="str">
        <x:v>34209f968444db816f75779cd5b876df002ae9d3</x:v>
      </x:c>
      <x:c r="AC90" s="21" t="str">
        <x:v>En cours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QA actuelle. Accord non consigné ou périmé. Publication non consignée ou périmée.</x:v>
      </x:c>
      <x:c r="AB91" s="21" t="str">
        <x:v>34209f968444db816f75779cd5b876df002ae9d3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QA actuelle. Accord non consigné ou périmé. Publication non consignée ou périmée.</x:v>
      </x:c>
      <x:c r="AB92" s="21" t="str">
        <x:v>34209f968444db816f75779cd5b876df002ae9d3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Lot 12</x:v>
      </x:c>
      <x:c r="E93" s="25" t="str">
        <x:v>Animaux</x:v>
      </x:c>
      <x:c r="F93" s="24" t="str">
        <x:f>IF(AND(G93=8,COUNTIF(Q93:V93,"Atlas")=6),"Intégré","À faire")</x:f>
        <x:v>Intégré</x:v>
      </x:c>
      <x:c r="G93" s="27" t="n">
        <x:f>COUNTIF(I93:P93,"Présent")</x:f>
        <x:v>8</x:v>
      </x:c>
      <x:c r="H93" s="24" t="str">
        <x:v>Archivé Drive</x:v>
      </x:c>
      <x:c r="I93" s="24" t="str">
        <x:v>Présent</x:v>
      </x:c>
      <x:c r="J93" s="24" t="str">
        <x:v>Présent</x:v>
      </x:c>
      <x:c r="K93" s="24" t="str">
        <x:v>Présent</x:v>
      </x:c>
      <x:c r="L93" s="24" t="str">
        <x:v>Présent</x:v>
      </x:c>
      <x:c r="M93" s="24" t="str">
        <x:v>Présent</x:v>
      </x:c>
      <x:c r="N93" s="24" t="str">
        <x:v>Présent</x:v>
      </x:c>
      <x:c r="O93" s="24" t="str">
        <x:v>Présent</x:v>
      </x:c>
      <x:c r="P93" s="24" t="str">
        <x:v>Présent</x:v>
      </x:c>
      <x:c r="Q93" s="24" t="str">
        <x:v>Atlas</x:v>
      </x:c>
      <x:c r="R93" s="24" t="str">
        <x:v>Atlas</x:v>
      </x:c>
      <x:c r="S93" s="24" t="str">
        <x:v>Atlas</x:v>
      </x:c>
      <x:c r="T93" s="24" t="str">
        <x:v>Atlas</x:v>
      </x:c>
      <x:c r="U93" s="24" t="str">
        <x:v>Atlas</x:v>
      </x:c>
      <x:c r="V93" s="24" t="str">
        <x:v>Atlas</x:v>
      </x:c>
      <x:c r="W93" s="24" t="str">
        <x:v>6/6 actuelles</x:v>
      </x:c>
      <x:c r="X93" s="24" t="str">
        <x:v>6/6 actuelles</x:v>
      </x:c>
      <x:c r="Y93" s="24" t="str">
        <x:v>Non consignée</x:v>
      </x:c>
      <x:c r="Z93" s="24" t="str">
        <x:v>Périmée (0/6)</x:v>
      </x:c>
      <x:c r="AA93" s="23" t="str">
        <x:v>QA actuelle. Accord non consigné ou périmé. Publication non consignée ou périmée.</x:v>
      </x:c>
      <x:c r="AB93" s="21" t="str">
        <x:v>b17117db72da867328bfee7e7b5ac7c17acc0aab</x:v>
      </x:c>
      <x:c r="AC93" s="21" t="str">
        <x:v>En cours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QA actuelle. Accord non consigné ou périmé. Publication non consignée ou périmée.</x:v>
      </x:c>
      <x:c r="AB94" s="21" t="str">
        <x:v>34209f968444db816f75779cd5b876df002ae9d3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QA actuelle. Accord non consigné ou périmé. Publication non consignée ou périmée.</x:v>
      </x:c>
      <x:c r="AB95" s="21" t="str">
        <x:v>34209f968444db816f75779cd5b876df002ae9d3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QA actuelle. Accord non consigné ou périmé. Publication non consignée ou périmée.</x:v>
      </x:c>
      <x:c r="AB96" s="21" t="str">
        <x:v>34209f968444db816f75779cd5b876df002ae9d3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QA actuelle. Accord non consigné ou périmé. Publication non consignée ou périmée.</x:v>
      </x:c>
      <x:c r="AB97" s="21" t="str">
        <x:v>34209f968444db816f75779cd5b876df002ae9d3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QA actuelle. Accord non consigné ou périmé. Publication non consignée ou périmée.</x:v>
      </x:c>
      <x:c r="AB98" s="21" t="str">
        <x:v>34209f968444db816f75779cd5b876df002ae9d3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QA actuelle. Accord non consigné ou périmé. Publication non consignée ou périmée.</x:v>
      </x:c>
      <x:c r="AB99" s="21" t="str">
        <x:v>34209f968444db816f75779cd5b876df002ae9d3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QA actuelle. Accord non consigné ou périmé. Publication non consignée ou périmée.</x:v>
      </x:c>
      <x:c r="AB100" s="21" t="str">
        <x:v>34209f968444db816f75779cd5b876df002ae9d3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Lot 14</x:v>
      </x:c>
      <x:c r="E101" s="25" t="str">
        <x:v>Objets</x:v>
      </x:c>
      <x:c r="F101" s="24" t="str">
        <x:f>IF(AND(G101=8,COUNTIF(Q101:V101,"Atlas")=6),"Intégré","À faire")</x:f>
        <x:v>Intégré</x:v>
      </x:c>
      <x:c r="G101" s="27" t="n">
        <x:f>COUNTIF(I101:P101,"Présent")</x:f>
        <x:v>8</x:v>
      </x:c>
      <x:c r="H101" s="24" t="str">
        <x:v>Archivé Drive</x:v>
      </x:c>
      <x:c r="I101" s="24" t="str">
        <x:v>Présent</x:v>
      </x:c>
      <x:c r="J101" s="24" t="str">
        <x:v>Présent</x:v>
      </x:c>
      <x:c r="K101" s="24" t="str">
        <x:v>Présent</x:v>
      </x:c>
      <x:c r="L101" s="24" t="str">
        <x:v>Présent</x:v>
      </x:c>
      <x:c r="M101" s="24" t="str">
        <x:v>Présent</x:v>
      </x:c>
      <x:c r="N101" s="24" t="str">
        <x:v>Présent</x:v>
      </x:c>
      <x:c r="O101" s="24" t="str">
        <x:v>Présent</x:v>
      </x:c>
      <x:c r="P101" s="24" t="str">
        <x:v>Présent</x:v>
      </x:c>
      <x:c r="Q101" s="24" t="str">
        <x:v>Atlas</x:v>
      </x:c>
      <x:c r="R101" s="24" t="str">
        <x:v>Atlas</x:v>
      </x:c>
      <x:c r="S101" s="24" t="str">
        <x:v>Atlas</x:v>
      </x:c>
      <x:c r="T101" s="24" t="str">
        <x:v>Atlas</x:v>
      </x:c>
      <x:c r="U101" s="24" t="str">
        <x:v>Atlas</x:v>
      </x:c>
      <x:c r="V101" s="24" t="str">
        <x:v>Atlas</x:v>
      </x:c>
      <x:c r="W101" s="24" t="str">
        <x:v>6/6 actuelles</x:v>
      </x:c>
      <x:c r="X101" s="24" t="str">
        <x:v>6/6 actuelles</x:v>
      </x:c>
      <x:c r="Y101" s="24" t="str">
        <x:v>Non consignée</x:v>
      </x:c>
      <x:c r="Z101" s="24" t="str">
        <x:v>Périmée (0/6)</x:v>
      </x:c>
      <x:c r="AA101" s="23" t="str">
        <x:v>QA actuelle. Accord non consigné ou périmé. Publication non consignée ou périmée.</x:v>
      </x:c>
      <x:c r="AB101" s="21" t="str">
        <x:v>3eadba5f121c1017c032929534d269c330aa5abb</x:v>
      </x:c>
      <x:c r="AC101" s="21" t="str">
        <x:v>En cours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QA actuelle. Accord non consigné ou périmé. Publication non consignée ou périmée.</x:v>
      </x:c>
      <x:c r="AB102" s="21" t="str">
        <x:v>34209f968444db816f75779cd5b876df002ae9d3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Lot 11 (master)</x:v>
      </x:c>
      <x:c r="E103" s="25" t="str">
        <x:v>Objets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Réutilisé master #509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Périmée (0/6)</x:v>
      </x:c>
      <x:c r="AA103" s="23" t="str">
        <x:v>QA actuelle. Accord non consigné ou périmé. Publication non consignée ou périmée.</x:v>
      </x:c>
      <x:c r="AB103" s="21" t="str">
        <x:v>34209f968444db816f75779cd5b876df002ae9d3</x:v>
      </x:c>
      <x:c r="AC103" s="21" t="str">
        <x:v>En cours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Périmée (0/6)</x:v>
      </x:c>
      <x:c r="AA104" s="23" t="str">
        <x:v>QA actuelle. Accord non consigné ou périmé. Publication non consignée ou périmée.</x:v>
      </x:c>
      <x:c r="AB104" s="21" t="str">
        <x:v>34209f968444db816f75779cd5b876df002ae9d3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Périmée (0/6)</x:v>
      </x:c>
      <x:c r="AA105" s="23" t="str">
        <x:v>QA actuelle. Accord non consigné ou périmé. Publication non consignée ou périmée.</x:v>
      </x:c>
      <x:c r="AB105" s="21" t="str">
        <x:v>34209f968444db816f75779cd5b876df002ae9d3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QA actuelle. Accord non consigné ou périmé. Publication non consignée ou périmée.</x:v>
      </x:c>
      <x:c r="AB106" s="21" t="str">
        <x:v>34209f968444db816f75779cd5b876df002ae9d3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QA actuelle. Accord non consigné ou périmé. Publication non consignée ou périmée.</x:v>
      </x:c>
      <x:c r="AB107" s="21" t="str">
        <x:v>34209f968444db816f75779cd5b876df002ae9d3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Lot 12</x:v>
      </x:c>
      <x:c r="E108" s="25" t="str">
        <x:v>Corps</x:v>
      </x:c>
      <x:c r="F108" s="24" t="str">
        <x:f>IF(AND(G108=8,COUNTIF(Q108:V108,"Atlas")=6),"Intégré","À faire")</x:f>
        <x:v>Intégré</x:v>
      </x:c>
      <x:c r="G108" s="27" t="n">
        <x:f>COUNTIF(I108:P108,"Présent")</x:f>
        <x:v>8</x:v>
      </x:c>
      <x:c r="H108" s="24" t="str">
        <x:v>Archivé Drive</x:v>
      </x:c>
      <x:c r="I108" s="24" t="str">
        <x:v>Présent</x:v>
      </x:c>
      <x:c r="J108" s="24" t="str">
        <x:v>Présent</x:v>
      </x:c>
      <x:c r="K108" s="24" t="str">
        <x:v>Présent</x:v>
      </x:c>
      <x:c r="L108" s="24" t="str">
        <x:v>Présent</x:v>
      </x:c>
      <x:c r="M108" s="24" t="str">
        <x:v>Présent</x:v>
      </x:c>
      <x:c r="N108" s="24" t="str">
        <x:v>Présent</x:v>
      </x:c>
      <x:c r="O108" s="24" t="str">
        <x:v>Présent</x:v>
      </x:c>
      <x:c r="P108" s="24" t="str">
        <x:v>Présent</x:v>
      </x:c>
      <x:c r="Q108" s="24" t="str">
        <x:v>Atlas</x:v>
      </x:c>
      <x:c r="R108" s="24" t="str">
        <x:v>Atlas</x:v>
      </x:c>
      <x:c r="S108" s="24" t="str">
        <x:v>Atlas</x:v>
      </x:c>
      <x:c r="T108" s="24" t="str">
        <x:v>Atlas</x:v>
      </x:c>
      <x:c r="U108" s="24" t="str">
        <x:v>Atlas</x:v>
      </x:c>
      <x:c r="V108" s="24" t="str">
        <x:v>Atlas</x:v>
      </x:c>
      <x:c r="W108" s="24" t="str">
        <x:v>6/6 actuelles</x:v>
      </x:c>
      <x:c r="X108" s="24" t="str">
        <x:v>6/6 actuelles</x:v>
      </x:c>
      <x:c r="Y108" s="24" t="str">
        <x:v>Non consignée</x:v>
      </x:c>
      <x:c r="Z108" s="24" t="str">
        <x:v>Périmée (0/6)</x:v>
      </x:c>
      <x:c r="AA108" s="23" t="str">
        <x:v>QA actuelle. Accord non consigné ou périmé. Publication non consignée ou périmée.</x:v>
      </x:c>
      <x:c r="AB108" s="21" t="str">
        <x:v>b17117db72da867328bfee7e7b5ac7c17acc0aab</x:v>
      </x:c>
      <x:c r="AC108" s="21" t="str">
        <x:v>En cours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Lot 12</x:v>
      </x:c>
      <x:c r="E109" s="25" t="str">
        <x:v>Animaux</x:v>
      </x:c>
      <x:c r="F109" s="24" t="str">
        <x:f>IF(AND(G109=8,COUNTIF(Q109:V109,"Atlas")=6),"Intégré","À faire")</x:f>
        <x:v>Intégré</x:v>
      </x:c>
      <x:c r="G109" s="27" t="n">
        <x:f>COUNTIF(I109:P109,"Présent")</x:f>
        <x:v>8</x:v>
      </x:c>
      <x:c r="H109" s="24" t="str">
        <x:v>Archivé Drive</x:v>
      </x:c>
      <x:c r="I109" s="24" t="str">
        <x:v>Présent</x:v>
      </x:c>
      <x:c r="J109" s="24" t="str">
        <x:v>Présent</x:v>
      </x:c>
      <x:c r="K109" s="24" t="str">
        <x:v>Présent</x:v>
      </x:c>
      <x:c r="L109" s="24" t="str">
        <x:v>Présent</x:v>
      </x:c>
      <x:c r="M109" s="24" t="str">
        <x:v>Présent</x:v>
      </x:c>
      <x:c r="N109" s="24" t="str">
        <x:v>Présent</x:v>
      </x:c>
      <x:c r="O109" s="24" t="str">
        <x:v>Présent</x:v>
      </x:c>
      <x:c r="P109" s="24" t="str">
        <x:v>Présent</x:v>
      </x:c>
      <x:c r="Q109" s="24" t="str">
        <x:v>Atlas</x:v>
      </x:c>
      <x:c r="R109" s="24" t="str">
        <x:v>Atlas</x:v>
      </x:c>
      <x:c r="S109" s="24" t="str">
        <x:v>Atlas</x:v>
      </x:c>
      <x:c r="T109" s="24" t="str">
        <x:v>Atlas</x:v>
      </x:c>
      <x:c r="U109" s="24" t="str">
        <x:v>Atlas</x:v>
      </x:c>
      <x:c r="V109" s="24" t="str">
        <x:v>Atlas</x:v>
      </x:c>
      <x:c r="W109" s="24" t="str">
        <x:v>6/6 actuelles</x:v>
      </x:c>
      <x:c r="X109" s="24" t="str">
        <x:v>6/6 actuelles</x:v>
      </x:c>
      <x:c r="Y109" s="24" t="str">
        <x:v>Non consignée</x:v>
      </x:c>
      <x:c r="Z109" s="24" t="str">
        <x:v>Périmée (0/6)</x:v>
      </x:c>
      <x:c r="AA109" s="23" t="str">
        <x:v>QA actuelle. Accord non consigné ou périmé. Publication non consignée ou périmée.</x:v>
      </x:c>
      <x:c r="AB109" s="21" t="str">
        <x:v>b17117db72da867328bfee7e7b5ac7c17acc0aab</x:v>
      </x:c>
      <x:c r="AC109" s="21" t="str">
        <x:v>En cours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Lot 12 (master)</x:v>
      </x:c>
      <x:c r="E110" s="25" t="str">
        <x:v>Nature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Réutilisé master #509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Périmée (0/6)</x:v>
      </x:c>
      <x:c r="AA110" s="23" t="str">
        <x:v>QA actuelle. Accord non consigné ou périmé. Publication non consignée ou périmée.</x:v>
      </x:c>
      <x:c r="AB110" s="21" t="str">
        <x:v>34209f968444db816f75779cd5b876df002ae9d3</x:v>
      </x:c>
      <x:c r="AC110" s="21" t="str">
        <x:v>En cours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Lot 13</x:v>
      </x:c>
      <x:c r="E111" s="25" t="str">
        <x:v>Personnes</x:v>
      </x:c>
      <x:c r="F111" s="24" t="str">
        <x:f>IF(AND(G111=8,COUNTIF(Q111:V111,"Atlas")=6),"Intégré","À faire")</x:f>
        <x:v>Intégré</x:v>
      </x:c>
      <x:c r="G111" s="27" t="n">
        <x:f>COUNTIF(I111:P111,"Présent")</x:f>
        <x:v>8</x:v>
      </x:c>
      <x:c r="H111" s="24" t="str">
        <x:v>Archivé Drive</x:v>
      </x:c>
      <x:c r="I111" s="24" t="str">
        <x:v>Présent</x:v>
      </x:c>
      <x:c r="J111" s="24" t="str">
        <x:v>Présent</x:v>
      </x:c>
      <x:c r="K111" s="24" t="str">
        <x:v>Présent</x:v>
      </x:c>
      <x:c r="L111" s="24" t="str">
        <x:v>Présent</x:v>
      </x:c>
      <x:c r="M111" s="24" t="str">
        <x:v>Présent</x:v>
      </x:c>
      <x:c r="N111" s="24" t="str">
        <x:v>Présent</x:v>
      </x:c>
      <x:c r="O111" s="24" t="str">
        <x:v>Présent</x:v>
      </x:c>
      <x:c r="P111" s="24" t="str">
        <x:v>Présent</x:v>
      </x:c>
      <x:c r="Q111" s="24" t="str">
        <x:v>Atlas</x:v>
      </x:c>
      <x:c r="R111" s="24" t="str">
        <x:v>Atlas</x:v>
      </x:c>
      <x:c r="S111" s="24" t="str">
        <x:v>Atlas</x:v>
      </x:c>
      <x:c r="T111" s="24" t="str">
        <x:v>Atlas</x:v>
      </x:c>
      <x:c r="U111" s="24" t="str">
        <x:v>Atlas</x:v>
      </x:c>
      <x:c r="V111" s="24" t="str">
        <x:v>Atlas</x:v>
      </x:c>
      <x:c r="W111" s="24" t="str">
        <x:v>6/6 actuelles</x:v>
      </x:c>
      <x:c r="X111" s="24" t="str">
        <x:v>6/6 actuelles</x:v>
      </x:c>
      <x:c r="Y111" s="24" t="str">
        <x:v>Non consignée</x:v>
      </x:c>
      <x:c r="Z111" s="24" t="str">
        <x:v>Périmée (0/6)</x:v>
      </x:c>
      <x:c r="AA111" s="23" t="str">
        <x:v>QA actuelle. Accord non consigné ou périmé. Publication non consignée ou périmée.</x:v>
      </x:c>
      <x:c r="AB111" s="21" t="str">
        <x:v>e03821783020a61aeaaa58d22886e2118781efaa</x:v>
      </x:c>
      <x:c r="AC111" s="21" t="str">
        <x:v>En cours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Lot 12</x:v>
      </x:c>
      <x:c r="E112" s="25" t="str">
        <x:v>Lieux</x:v>
      </x:c>
      <x:c r="F112" s="24" t="str">
        <x:f>IF(AND(G112=8,COUNTIF(Q112:V112,"Atlas")=6),"Intégré","À faire")</x:f>
        <x:v>Intégré</x:v>
      </x:c>
      <x:c r="G112" s="27" t="n">
        <x:f>COUNTIF(I112:P112,"Présent")</x:f>
        <x:v>8</x:v>
      </x:c>
      <x:c r="H112" s="24" t="str">
        <x:v>Archivé Drive</x:v>
      </x:c>
      <x:c r="I112" s="24" t="str">
        <x:v>Présent</x:v>
      </x:c>
      <x:c r="J112" s="24" t="str">
        <x:v>Présent</x:v>
      </x:c>
      <x:c r="K112" s="24" t="str">
        <x:v>Présent</x:v>
      </x:c>
      <x:c r="L112" s="24" t="str">
        <x:v>Présent</x:v>
      </x:c>
      <x:c r="M112" s="24" t="str">
        <x:v>Présent</x:v>
      </x:c>
      <x:c r="N112" s="24" t="str">
        <x:v>Présent</x:v>
      </x:c>
      <x:c r="O112" s="24" t="str">
        <x:v>Présent</x:v>
      </x:c>
      <x:c r="P112" s="24" t="str">
        <x:v>Présent</x:v>
      </x:c>
      <x:c r="Q112" s="24" t="str">
        <x:v>Atlas</x:v>
      </x:c>
      <x:c r="R112" s="24" t="str">
        <x:v>Atlas</x:v>
      </x:c>
      <x:c r="S112" s="24" t="str">
        <x:v>Atlas</x:v>
      </x:c>
      <x:c r="T112" s="24" t="str">
        <x:v>Atlas</x:v>
      </x:c>
      <x:c r="U112" s="24" t="str">
        <x:v>Atlas</x:v>
      </x:c>
      <x:c r="V112" s="24" t="str">
        <x:v>Atlas</x:v>
      </x:c>
      <x:c r="W112" s="24" t="str">
        <x:v>6/6 actuelles</x:v>
      </x:c>
      <x:c r="X112" s="24" t="str">
        <x:v>6/6 actuelles</x:v>
      </x:c>
      <x:c r="Y112" s="24" t="str">
        <x:v>Non consignée</x:v>
      </x:c>
      <x:c r="Z112" s="24" t="str">
        <x:v>Périmée (0/6)</x:v>
      </x:c>
      <x:c r="AA112" s="23" t="str">
        <x:v>QA actuelle. Accord non consigné ou périmé. Publication non consignée ou périmée.</x:v>
      </x:c>
      <x:c r="AB112" s="21" t="str">
        <x:v>b17117db72da867328bfee7e7b5ac7c17acc0aab</x:v>
      </x:c>
      <x:c r="AC112" s="21" t="str">
        <x:v>En cours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Lot 14</x:v>
      </x:c>
      <x:c r="E113" s="25" t="str">
        <x:v>Objets</x:v>
      </x:c>
      <x:c r="F113" s="24" t="str">
        <x:f>IF(AND(G113=8,COUNTIF(Q113:V113,"Atlas")=6),"Intégré","À faire")</x:f>
        <x:v>Intégré</x:v>
      </x:c>
      <x:c r="G113" s="27" t="n">
        <x:f>COUNTIF(I113:P113,"Présent")</x:f>
        <x:v>8</x:v>
      </x:c>
      <x:c r="H113" s="24" t="str">
        <x:v>Archivé Drive</x:v>
      </x:c>
      <x:c r="I113" s="24" t="str">
        <x:v>Présent</x:v>
      </x:c>
      <x:c r="J113" s="24" t="str">
        <x:v>Présent</x:v>
      </x:c>
      <x:c r="K113" s="24" t="str">
        <x:v>Présent</x:v>
      </x:c>
      <x:c r="L113" s="24" t="str">
        <x:v>Présent</x:v>
      </x:c>
      <x:c r="M113" s="24" t="str">
        <x:v>Présent</x:v>
      </x:c>
      <x:c r="N113" s="24" t="str">
        <x:v>Présent</x:v>
      </x:c>
      <x:c r="O113" s="24" t="str">
        <x:v>Présent</x:v>
      </x:c>
      <x:c r="P113" s="24" t="str">
        <x:v>Présent</x:v>
      </x:c>
      <x:c r="Q113" s="24" t="str">
        <x:v>Atlas</x:v>
      </x:c>
      <x:c r="R113" s="24" t="str">
        <x:v>Atlas</x:v>
      </x:c>
      <x:c r="S113" s="24" t="str">
        <x:v>Atlas</x:v>
      </x:c>
      <x:c r="T113" s="24" t="str">
        <x:v>Atlas</x:v>
      </x:c>
      <x:c r="U113" s="24" t="str">
        <x:v>Atlas</x:v>
      </x:c>
      <x:c r="V113" s="24" t="str">
        <x:v>Atlas</x:v>
      </x:c>
      <x:c r="W113" s="24" t="str">
        <x:v>6/6 actuelles</x:v>
      </x:c>
      <x:c r="X113" s="24" t="str">
        <x:v>6/6 actuelles</x:v>
      </x:c>
      <x:c r="Y113" s="24" t="str">
        <x:v>Non consignée</x:v>
      </x:c>
      <x:c r="Z113" s="24" t="str">
        <x:v>Périmée (0/6)</x:v>
      </x:c>
      <x:c r="AA113" s="23" t="str">
        <x:v>QA actuelle. Accord non consigné ou périmé. Publication non consignée ou périmée.</x:v>
      </x:c>
      <x:c r="AB113" s="21" t="str">
        <x:v>3eadba5f121c1017c032929534d269c330aa5abb</x:v>
      </x:c>
      <x:c r="AC113" s="21" t="str">
        <x:v>En cours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Lot 13</x:v>
      </x:c>
      <x:c r="E114" s="25" t="str">
        <x:v>Animaux</x:v>
      </x:c>
      <x:c r="F114" s="24" t="str">
        <x:f>IF(AND(G114=8,COUNTIF(Q114:V114,"Atlas")=6),"Intégré","À faire")</x:f>
        <x:v>Intégré</x:v>
      </x:c>
      <x:c r="G114" s="27" t="n">
        <x:f>COUNTIF(I114:P114,"Présent")</x:f>
        <x:v>8</x:v>
      </x:c>
      <x:c r="H114" s="24" t="str">
        <x:v>Archivé Drive</x:v>
      </x:c>
      <x:c r="I114" s="24" t="str">
        <x:v>Présent</x:v>
      </x:c>
      <x:c r="J114" s="24" t="str">
        <x:v>Présent</x:v>
      </x:c>
      <x:c r="K114" s="24" t="str">
        <x:v>Présent</x:v>
      </x:c>
      <x:c r="L114" s="24" t="str">
        <x:v>Présent</x:v>
      </x:c>
      <x:c r="M114" s="24" t="str">
        <x:v>Présent</x:v>
      </x:c>
      <x:c r="N114" s="24" t="str">
        <x:v>Présent</x:v>
      </x:c>
      <x:c r="O114" s="24" t="str">
        <x:v>Présent</x:v>
      </x:c>
      <x:c r="P114" s="24" t="str">
        <x:v>Présent</x:v>
      </x:c>
      <x:c r="Q114" s="24" t="str">
        <x:v>Atlas</x:v>
      </x:c>
      <x:c r="R114" s="24" t="str">
        <x:v>Atlas</x:v>
      </x:c>
      <x:c r="S114" s="24" t="str">
        <x:v>Atlas</x:v>
      </x:c>
      <x:c r="T114" s="24" t="str">
        <x:v>Atlas</x:v>
      </x:c>
      <x:c r="U114" s="24" t="str">
        <x:v>Atlas</x:v>
      </x:c>
      <x:c r="V114" s="24" t="str">
        <x:v>Atlas</x:v>
      </x:c>
      <x:c r="W114" s="24" t="str">
        <x:v>6/6 actuelles</x:v>
      </x:c>
      <x:c r="X114" s="24" t="str">
        <x:v>6/6 actuelles</x:v>
      </x:c>
      <x:c r="Y114" s="24" t="str">
        <x:v>Non consignée</x:v>
      </x:c>
      <x:c r="Z114" s="24" t="str">
        <x:v>Périmée (0/6)</x:v>
      </x:c>
      <x:c r="AA114" s="23" t="str">
        <x:v>QA actuelle. Accord non consigné ou périmé. Publication non consignée ou périmée.</x:v>
      </x:c>
      <x:c r="AB114" s="21" t="str">
        <x:v>e03821783020a61aeaaa58d22886e2118781efaa</x:v>
      </x:c>
      <x:c r="AC114" s="21" t="str">
        <x:v>En cours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QA actuelle. Accord non consigné ou périmé. Publication non consignée ou périmée.</x:v>
      </x:c>
      <x:c r="AB115" s="21" t="str">
        <x:v>34209f968444db816f75779cd5b876df002ae9d3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Lot 12</x:v>
      </x:c>
      <x:c r="E116" s="25" t="str">
        <x:v>Objets</x:v>
      </x:c>
      <x:c r="F116" s="24" t="str">
        <x:f>IF(AND(G116=8,COUNTIF(Q116:V116,"Atlas")=6),"Intégré","À faire")</x:f>
        <x:v>Intégré</x:v>
      </x:c>
      <x:c r="G116" s="27" t="n">
        <x:f>COUNTIF(I116:P116,"Présent")</x:f>
        <x:v>8</x:v>
      </x:c>
      <x:c r="H116" s="24" t="str">
        <x:v>Archivé Drive</x:v>
      </x:c>
      <x:c r="I116" s="24" t="str">
        <x:v>Présent</x:v>
      </x:c>
      <x:c r="J116" s="24" t="str">
        <x:v>Présent</x:v>
      </x:c>
      <x:c r="K116" s="24" t="str">
        <x:v>Présent</x:v>
      </x:c>
      <x:c r="L116" s="24" t="str">
        <x:v>Présent</x:v>
      </x:c>
      <x:c r="M116" s="24" t="str">
        <x:v>Présent</x:v>
      </x:c>
      <x:c r="N116" s="24" t="str">
        <x:v>Présent</x:v>
      </x:c>
      <x:c r="O116" s="24" t="str">
        <x:v>Présent</x:v>
      </x:c>
      <x:c r="P116" s="24" t="str">
        <x:v>Présent</x:v>
      </x:c>
      <x:c r="Q116" s="24" t="str">
        <x:v>Atlas</x:v>
      </x:c>
      <x:c r="R116" s="24" t="str">
        <x:v>Atlas</x:v>
      </x:c>
      <x:c r="S116" s="24" t="str">
        <x:v>Atlas</x:v>
      </x:c>
      <x:c r="T116" s="24" t="str">
        <x:v>Atlas</x:v>
      </x:c>
      <x:c r="U116" s="24" t="str">
        <x:v>Atlas</x:v>
      </x:c>
      <x:c r="V116" s="24" t="str">
        <x:v>Atlas</x:v>
      </x:c>
      <x:c r="W116" s="24" t="str">
        <x:v>6/6 actuelles</x:v>
      </x:c>
      <x:c r="X116" s="24" t="str">
        <x:v>6/6 actuelles</x:v>
      </x:c>
      <x:c r="Y116" s="24" t="str">
        <x:v>Non consignée</x:v>
      </x:c>
      <x:c r="Z116" s="24" t="str">
        <x:v>Périmée (0/6)</x:v>
      </x:c>
      <x:c r="AA116" s="23" t="str">
        <x:v>QA actuelle. Accord non consigné ou périmé. Publication non consignée ou périmée.</x:v>
      </x:c>
      <x:c r="AB116" s="21" t="str">
        <x:v>b17117db72da867328bfee7e7b5ac7c17acc0aab</x:v>
      </x:c>
      <x:c r="AC116" s="21" t="str">
        <x:v>En cours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Lot 13</x:v>
      </x:c>
      <x:c r="E117" s="25" t="str">
        <x:v>Animaux</x:v>
      </x:c>
      <x:c r="F117" s="24" t="str">
        <x:f>IF(AND(G117=8,COUNTIF(Q117:V117,"Atlas")=6),"Intégré","À faire")</x:f>
        <x:v>Intégré</x:v>
      </x:c>
      <x:c r="G117" s="27" t="n">
        <x:f>COUNTIF(I117:P117,"Présent")</x:f>
        <x:v>8</x:v>
      </x:c>
      <x:c r="H117" s="24" t="str">
        <x:v>Archivé Drive</x:v>
      </x:c>
      <x:c r="I117" s="24" t="str">
        <x:v>Présent</x:v>
      </x:c>
      <x:c r="J117" s="24" t="str">
        <x:v>Présent</x:v>
      </x:c>
      <x:c r="K117" s="24" t="str">
        <x:v>Présent</x:v>
      </x:c>
      <x:c r="L117" s="24" t="str">
        <x:v>Présent</x:v>
      </x:c>
      <x:c r="M117" s="24" t="str">
        <x:v>Présent</x:v>
      </x:c>
      <x:c r="N117" s="24" t="str">
        <x:v>Présent</x:v>
      </x:c>
      <x:c r="O117" s="24" t="str">
        <x:v>Présent</x:v>
      </x:c>
      <x:c r="P117" s="24" t="str">
        <x:v>Présent</x:v>
      </x:c>
      <x:c r="Q117" s="24" t="str">
        <x:v>Atlas</x:v>
      </x:c>
      <x:c r="R117" s="24" t="str">
        <x:v>Atlas</x:v>
      </x:c>
      <x:c r="S117" s="24" t="str">
        <x:v>Atlas</x:v>
      </x:c>
      <x:c r="T117" s="24" t="str">
        <x:v>Atlas</x:v>
      </x:c>
      <x:c r="U117" s="24" t="str">
        <x:v>Atlas</x:v>
      </x:c>
      <x:c r="V117" s="24" t="str">
        <x:v>Atlas</x:v>
      </x:c>
      <x:c r="W117" s="24" t="str">
        <x:v>6/6 actuelles</x:v>
      </x:c>
      <x:c r="X117" s="24" t="str">
        <x:v>6/6 actuelles</x:v>
      </x:c>
      <x:c r="Y117" s="24" t="str">
        <x:v>Non consignée</x:v>
      </x:c>
      <x:c r="Z117" s="24" t="str">
        <x:v>Périmée (0/6)</x:v>
      </x:c>
      <x:c r="AA117" s="23" t="str">
        <x:v>QA actuelle. Accord non consigné ou périmé. Publication non consignée ou périmée.</x:v>
      </x:c>
      <x:c r="AB117" s="21" t="str">
        <x:v>e03821783020a61aeaaa58d22886e2118781efaa</x:v>
      </x:c>
      <x:c r="AC117" s="21" t="str">
        <x:v>En cours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QA actuelle. Accord non consigné ou périmé. Publication non consignée ou périmée.</x:v>
      </x:c>
      <x:c r="AB118" s="21" t="str">
        <x:v>34209f968444db816f75779cd5b876df002ae9d3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Lot 11</x:v>
      </x:c>
      <x:c r="E119" s="25" t="str">
        <x:v>Corps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Archivé Drive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Périmée (0/6)</x:v>
      </x:c>
      <x:c r="AA119" s="23" t="str">
        <x:v>QA actuelle. Accord non consigné ou périmé. Publication non consignée ou périmée.</x:v>
      </x:c>
      <x:c r="AB119" s="21" t="str">
        <x:v>34209f968444db816f75779cd5b876df002ae9d3</x:v>
      </x:c>
      <x:c r="AC119" s="21" t="str">
        <x:v>En cours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Lot 11</x:v>
      </x:c>
      <x:c r="E120" s="25" t="str">
        <x:v>Actions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Archivé Drive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Périmée (0/6)</x:v>
      </x:c>
      <x:c r="AA120" s="23" t="str">
        <x:v>QA actuelle. Accord non consigné ou périmé. Publication non consignée ou périmée.</x:v>
      </x:c>
      <x:c r="AB120" s="21" t="str">
        <x:v>34209f968444db816f75779cd5b876df002ae9d3</x:v>
      </x:c>
      <x:c r="AC120" s="21" t="str">
        <x:v>En cours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Lot 14</x:v>
      </x:c>
      <x:c r="E121" s="25" t="str">
        <x:v>Ciel</x:v>
      </x:c>
      <x:c r="F121" s="24" t="str">
        <x:f>IF(AND(G121=8,COUNTIF(Q121:V121,"Atlas")=6),"Intégré","À faire")</x:f>
        <x:v>Intégré</x:v>
      </x:c>
      <x:c r="G121" s="27" t="n">
        <x:f>COUNTIF(I121:P121,"Présent")</x:f>
        <x:v>8</x:v>
      </x:c>
      <x:c r="H121" s="24" t="str">
        <x:v>Archivé Drive</x:v>
      </x:c>
      <x:c r="I121" s="24" t="str">
        <x:v>Présent</x:v>
      </x:c>
      <x:c r="J121" s="24" t="str">
        <x:v>Présent</x:v>
      </x:c>
      <x:c r="K121" s="24" t="str">
        <x:v>Présent</x:v>
      </x:c>
      <x:c r="L121" s="24" t="str">
        <x:v>Présent</x:v>
      </x:c>
      <x:c r="M121" s="24" t="str">
        <x:v>Présent</x:v>
      </x:c>
      <x:c r="N121" s="24" t="str">
        <x:v>Présent</x:v>
      </x:c>
      <x:c r="O121" s="24" t="str">
        <x:v>Présent</x:v>
      </x:c>
      <x:c r="P121" s="24" t="str">
        <x:v>Présent</x:v>
      </x:c>
      <x:c r="Q121" s="24" t="str">
        <x:v>Atlas</x:v>
      </x:c>
      <x:c r="R121" s="24" t="str">
        <x:v>Atlas</x:v>
      </x:c>
      <x:c r="S121" s="24" t="str">
        <x:v>Atlas</x:v>
      </x:c>
      <x:c r="T121" s="24" t="str">
        <x:v>Atlas</x:v>
      </x:c>
      <x:c r="U121" s="24" t="str">
        <x:v>Atlas</x:v>
      </x:c>
      <x:c r="V121" s="24" t="str">
        <x:v>Atlas</x:v>
      </x:c>
      <x:c r="W121" s="24" t="str">
        <x:v>6/6 actuelles</x:v>
      </x:c>
      <x:c r="X121" s="24" t="str">
        <x:v>6/6 actuelles</x:v>
      </x:c>
      <x:c r="Y121" s="24" t="str">
        <x:v>Non consignée</x:v>
      </x:c>
      <x:c r="Z121" s="24" t="str">
        <x:v>Périmée (0/6)</x:v>
      </x:c>
      <x:c r="AA121" s="23" t="str">
        <x:v>QA actuelle. Accord non consigné ou périmé. Publication non consignée ou périmée.</x:v>
      </x:c>
      <x:c r="AB121" s="21" t="str">
        <x:v>3eadba5f121c1017c032929534d269c330aa5abb</x:v>
      </x:c>
      <x:c r="AC121" s="21" t="str">
        <x:v>En cours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Lot 13</x:v>
      </x:c>
      <x:c r="E122" s="25" t="str">
        <x:v>Lieux</x:v>
      </x:c>
      <x:c r="F122" s="24" t="str">
        <x:f>IF(AND(G122=8,COUNTIF(Q122:V122,"Atlas")=6),"Intégré","À faire")</x:f>
        <x:v>Intégré</x:v>
      </x:c>
      <x:c r="G122" s="27" t="n">
        <x:f>COUNTIF(I122:P122,"Présent")</x:f>
        <x:v>8</x:v>
      </x:c>
      <x:c r="H122" s="24" t="str">
        <x:v>Archivé Drive</x:v>
      </x:c>
      <x:c r="I122" s="24" t="str">
        <x:v>Présent</x:v>
      </x:c>
      <x:c r="J122" s="24" t="str">
        <x:v>Présent</x:v>
      </x:c>
      <x:c r="K122" s="24" t="str">
        <x:v>Présent</x:v>
      </x:c>
      <x:c r="L122" s="24" t="str">
        <x:v>Présent</x:v>
      </x:c>
      <x:c r="M122" s="24" t="str">
        <x:v>Présent</x:v>
      </x:c>
      <x:c r="N122" s="24" t="str">
        <x:v>Présent</x:v>
      </x:c>
      <x:c r="O122" s="24" t="str">
        <x:v>Présent</x:v>
      </x:c>
      <x:c r="P122" s="24" t="str">
        <x:v>Présent</x:v>
      </x:c>
      <x:c r="Q122" s="24" t="str">
        <x:v>Atlas</x:v>
      </x:c>
      <x:c r="R122" s="24" t="str">
        <x:v>Atlas</x:v>
      </x:c>
      <x:c r="S122" s="24" t="str">
        <x:v>Atlas</x:v>
      </x:c>
      <x:c r="T122" s="24" t="str">
        <x:v>Atlas</x:v>
      </x:c>
      <x:c r="U122" s="24" t="str">
        <x:v>Atlas</x:v>
      </x:c>
      <x:c r="V122" s="24" t="str">
        <x:v>Atlas</x:v>
      </x:c>
      <x:c r="W122" s="24" t="str">
        <x:v>6/6 actuelles</x:v>
      </x:c>
      <x:c r="X122" s="24" t="str">
        <x:v>6/6 actuelles</x:v>
      </x:c>
      <x:c r="Y122" s="24" t="str">
        <x:v>Non consignée</x:v>
      </x:c>
      <x:c r="Z122" s="24" t="str">
        <x:v>Périmée (0/6)</x:v>
      </x:c>
      <x:c r="AA122" s="23" t="str">
        <x:v>QA actuelle. Accord non consigné ou périmé. Publication non consignée ou périmée.</x:v>
      </x:c>
      <x:c r="AB122" s="21" t="str">
        <x:v>e03821783020a61aeaaa58d22886e2118781efaa</x:v>
      </x:c>
      <x:c r="AC122" s="21" t="str">
        <x:v>En cours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Lot 14</x:v>
      </x:c>
      <x:c r="E123" s="25" t="str">
        <x:v>Personnes</x:v>
      </x:c>
      <x:c r="F123" s="24" t="str">
        <x:f>IF(AND(G123=8,COUNTIF(Q123:V123,"Atlas")=6),"Intégré","À faire")</x:f>
        <x:v>Intégré</x:v>
      </x:c>
      <x:c r="G123" s="27" t="n">
        <x:f>COUNTIF(I123:P123,"Présent")</x:f>
        <x:v>8</x:v>
      </x:c>
      <x:c r="H123" s="24" t="str">
        <x:v>Archivé Drive</x:v>
      </x:c>
      <x:c r="I123" s="24" t="str">
        <x:v>Présent</x:v>
      </x:c>
      <x:c r="J123" s="24" t="str">
        <x:v>Présent</x:v>
      </x:c>
      <x:c r="K123" s="24" t="str">
        <x:v>Présent</x:v>
      </x:c>
      <x:c r="L123" s="24" t="str">
        <x:v>Présent</x:v>
      </x:c>
      <x:c r="M123" s="24" t="str">
        <x:v>Présent</x:v>
      </x:c>
      <x:c r="N123" s="24" t="str">
        <x:v>Présent</x:v>
      </x:c>
      <x:c r="O123" s="24" t="str">
        <x:v>Présent</x:v>
      </x:c>
      <x:c r="P123" s="24" t="str">
        <x:v>Présent</x:v>
      </x:c>
      <x:c r="Q123" s="24" t="str">
        <x:v>Atlas</x:v>
      </x:c>
      <x:c r="R123" s="24" t="str">
        <x:v>Atlas</x:v>
      </x:c>
      <x:c r="S123" s="24" t="str">
        <x:v>Atlas</x:v>
      </x:c>
      <x:c r="T123" s="24" t="str">
        <x:v>Atlas</x:v>
      </x:c>
      <x:c r="U123" s="24" t="str">
        <x:v>Atlas</x:v>
      </x:c>
      <x:c r="V123" s="24" t="str">
        <x:v>Atlas</x:v>
      </x:c>
      <x:c r="W123" s="24" t="str">
        <x:v>6/6 actuelles</x:v>
      </x:c>
      <x:c r="X123" s="24" t="str">
        <x:v>6/6 actuelles</x:v>
      </x:c>
      <x:c r="Y123" s="24" t="str">
        <x:v>Non consignée</x:v>
      </x:c>
      <x:c r="Z123" s="24" t="str">
        <x:v>Périmée (0/6)</x:v>
      </x:c>
      <x:c r="AA123" s="23" t="str">
        <x:v>QA actuelle. Accord non consigné ou périmé. Publication non consignée ou périmée.</x:v>
      </x:c>
      <x:c r="AB123" s="21" t="str">
        <x:v>3eadba5f121c1017c032929534d269c330aa5abb</x:v>
      </x:c>
      <x:c r="AC123" s="21" t="str">
        <x:v>En cours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Lot 13</x:v>
      </x:c>
      <x:c r="E124" s="25" t="str">
        <x:v>Animaux</x:v>
      </x:c>
      <x:c r="F124" s="24" t="str">
        <x:f>IF(AND(G124=8,COUNTIF(Q124:V124,"Atlas")=6),"Intégré","À faire")</x:f>
        <x:v>Intégré</x:v>
      </x:c>
      <x:c r="G124" s="27" t="n">
        <x:f>COUNTIF(I124:P124,"Présent")</x:f>
        <x:v>8</x:v>
      </x:c>
      <x:c r="H124" s="24" t="str">
        <x:v>Archivé Drive</x:v>
      </x:c>
      <x:c r="I124" s="24" t="str">
        <x:v>Présent</x:v>
      </x:c>
      <x:c r="J124" s="24" t="str">
        <x:v>Présent</x:v>
      </x:c>
      <x:c r="K124" s="24" t="str">
        <x:v>Présent</x:v>
      </x:c>
      <x:c r="L124" s="24" t="str">
        <x:v>Présent</x:v>
      </x:c>
      <x:c r="M124" s="24" t="str">
        <x:v>Présent</x:v>
      </x:c>
      <x:c r="N124" s="24" t="str">
        <x:v>Présent</x:v>
      </x:c>
      <x:c r="O124" s="24" t="str">
        <x:v>Présent</x:v>
      </x:c>
      <x:c r="P124" s="24" t="str">
        <x:v>Présent</x:v>
      </x:c>
      <x:c r="Q124" s="24" t="str">
        <x:v>Atlas</x:v>
      </x:c>
      <x:c r="R124" s="24" t="str">
        <x:v>Atlas</x:v>
      </x:c>
      <x:c r="S124" s="24" t="str">
        <x:v>Atlas</x:v>
      </x:c>
      <x:c r="T124" s="24" t="str">
        <x:v>Atlas</x:v>
      </x:c>
      <x:c r="U124" s="24" t="str">
        <x:v>Atlas</x:v>
      </x:c>
      <x:c r="V124" s="24" t="str">
        <x:v>Atlas</x:v>
      </x:c>
      <x:c r="W124" s="24" t="str">
        <x:v>6/6 actuelles</x:v>
      </x:c>
      <x:c r="X124" s="24" t="str">
        <x:v>6/6 actuelles</x:v>
      </x:c>
      <x:c r="Y124" s="24" t="str">
        <x:v>Non consignée</x:v>
      </x:c>
      <x:c r="Z124" s="24" t="str">
        <x:v>Périmée (0/6)</x:v>
      </x:c>
      <x:c r="AA124" s="23" t="str">
        <x:v>QA actuelle. Accord non consigné ou périmé. Publication non consignée ou périmée.</x:v>
      </x:c>
      <x:c r="AB124" s="21" t="str">
        <x:v>e03821783020a61aeaaa58d22886e2118781efaa</x:v>
      </x:c>
      <x:c r="AC124" s="21" t="str">
        <x:v>En cours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Lot 11</x:v>
      </x:c>
      <x:c r="E125" s="25" t="str">
        <x:v>Corps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Archivé Drive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Périmée (0/6)</x:v>
      </x:c>
      <x:c r="AA125" s="23" t="str">
        <x:v>QA actuelle. Accord non consigné ou périmé. Publication non consignée ou périmée.</x:v>
      </x:c>
      <x:c r="AB125" s="21" t="str">
        <x:v>34209f968444db816f75779cd5b876df002ae9d3</x:v>
      </x:c>
      <x:c r="AC125" s="21" t="str">
        <x:v>En cours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QA actuelle. Accord non consigné ou périmé. Publication non consignée ou périmée.</x:v>
      </x:c>
      <x:c r="AB126" s="21" t="str">
        <x:v>34209f968444db816f75779cd5b876df002ae9d3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Lot 12</x:v>
      </x:c>
      <x:c r="E127" s="25" t="str">
        <x:v>Animaux</x:v>
      </x:c>
      <x:c r="F127" s="24" t="str">
        <x:f>IF(AND(G127=8,COUNTIF(Q127:V127,"Atlas")=6),"Intégré","À faire")</x:f>
        <x:v>Intégré</x:v>
      </x:c>
      <x:c r="G127" s="27" t="n">
        <x:f>COUNTIF(I127:P127,"Présent")</x:f>
        <x:v>8</x:v>
      </x:c>
      <x:c r="H127" s="24" t="str">
        <x:v>Archivé Drive</x:v>
      </x:c>
      <x:c r="I127" s="24" t="str">
        <x:v>Présent</x:v>
      </x:c>
      <x:c r="J127" s="24" t="str">
        <x:v>Présent</x:v>
      </x:c>
      <x:c r="K127" s="24" t="str">
        <x:v>Présent</x:v>
      </x:c>
      <x:c r="L127" s="24" t="str">
        <x:v>Présent</x:v>
      </x:c>
      <x:c r="M127" s="24" t="str">
        <x:v>Présent</x:v>
      </x:c>
      <x:c r="N127" s="24" t="str">
        <x:v>Présent</x:v>
      </x:c>
      <x:c r="O127" s="24" t="str">
        <x:v>Présent</x:v>
      </x:c>
      <x:c r="P127" s="24" t="str">
        <x:v>Présent</x:v>
      </x:c>
      <x:c r="Q127" s="24" t="str">
        <x:v>Atlas</x:v>
      </x:c>
      <x:c r="R127" s="24" t="str">
        <x:v>Atlas</x:v>
      </x:c>
      <x:c r="S127" s="24" t="str">
        <x:v>Atlas</x:v>
      </x:c>
      <x:c r="T127" s="24" t="str">
        <x:v>Atlas</x:v>
      </x:c>
      <x:c r="U127" s="24" t="str">
        <x:v>Atlas</x:v>
      </x:c>
      <x:c r="V127" s="24" t="str">
        <x:v>Atlas</x:v>
      </x:c>
      <x:c r="W127" s="24" t="str">
        <x:v>6/6 actuelles</x:v>
      </x:c>
      <x:c r="X127" s="24" t="str">
        <x:v>6/6 actuelles</x:v>
      </x:c>
      <x:c r="Y127" s="24" t="str">
        <x:v>Non consignée</x:v>
      </x:c>
      <x:c r="Z127" s="24" t="str">
        <x:v>Périmée (0/6)</x:v>
      </x:c>
      <x:c r="AA127" s="23" t="str">
        <x:v>QA actuelle. Accord non consigné ou périmé. Publication non consignée ou périmée.</x:v>
      </x:c>
      <x:c r="AB127" s="21" t="str">
        <x:v>b17117db72da867328bfee7e7b5ac7c17acc0aab</x:v>
      </x:c>
      <x:c r="AC127" s="21" t="str">
        <x:v>En cours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QA actuelle. Accord non consigné ou périmé. Publication non consignée ou périmée.</x:v>
      </x:c>
      <x:c r="AB128" s="21" t="str">
        <x:v>34209f968444db816f75779cd5b876df002ae9d3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Lot 14</x:v>
      </x:c>
      <x:c r="E129" s="25" t="str">
        <x:v>Objets</x:v>
      </x:c>
      <x:c r="F129" s="24" t="str">
        <x:f>IF(AND(G129=8,COUNTIF(Q129:V129,"Atlas")=6),"Intégré","À faire")</x:f>
        <x:v>Intégré</x:v>
      </x:c>
      <x:c r="G129" s="27" t="n">
        <x:f>COUNTIF(I129:P129,"Présent")</x:f>
        <x:v>8</x:v>
      </x:c>
      <x:c r="H129" s="24" t="str">
        <x:v>Archivé Drive</x:v>
      </x:c>
      <x:c r="I129" s="24" t="str">
        <x:v>Présent</x:v>
      </x:c>
      <x:c r="J129" s="24" t="str">
        <x:v>Présent</x:v>
      </x:c>
      <x:c r="K129" s="24" t="str">
        <x:v>Présent</x:v>
      </x:c>
      <x:c r="L129" s="24" t="str">
        <x:v>Présent</x:v>
      </x:c>
      <x:c r="M129" s="24" t="str">
        <x:v>Présent</x:v>
      </x:c>
      <x:c r="N129" s="24" t="str">
        <x:v>Présent</x:v>
      </x:c>
      <x:c r="O129" s="24" t="str">
        <x:v>Présent</x:v>
      </x:c>
      <x:c r="P129" s="24" t="str">
        <x:v>Présent</x:v>
      </x:c>
      <x:c r="Q129" s="24" t="str">
        <x:v>Atlas</x:v>
      </x:c>
      <x:c r="R129" s="24" t="str">
        <x:v>Atlas</x:v>
      </x:c>
      <x:c r="S129" s="24" t="str">
        <x:v>Atlas</x:v>
      </x:c>
      <x:c r="T129" s="24" t="str">
        <x:v>Atlas</x:v>
      </x:c>
      <x:c r="U129" s="24" t="str">
        <x:v>Atlas</x:v>
      </x:c>
      <x:c r="V129" s="24" t="str">
        <x:v>Atlas</x:v>
      </x:c>
      <x:c r="W129" s="24" t="str">
        <x:v>6/6 actuelles</x:v>
      </x:c>
      <x:c r="X129" s="24" t="str">
        <x:v>6/6 actuelles</x:v>
      </x:c>
      <x:c r="Y129" s="24" t="str">
        <x:v>Non consignée</x:v>
      </x:c>
      <x:c r="Z129" s="24" t="str">
        <x:v>Périmée (0/6)</x:v>
      </x:c>
      <x:c r="AA129" s="23" t="str">
        <x:v>QA actuelle. Accord non consigné ou périmé. Publication non consignée ou périmée.</x:v>
      </x:c>
      <x:c r="AB129" s="21" t="str">
        <x:v>3eadba5f121c1017c032929534d269c330aa5abb</x:v>
      </x:c>
      <x:c r="AC129" s="21" t="str">
        <x:v>En cours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Lot 11</x:v>
      </x:c>
      <x:c r="E130" s="25" t="str">
        <x:v>Actions</x:v>
      </x:c>
      <x:c r="F130" s="24" t="str">
        <x:f>IF(AND(G130=8,COUNTIF(Q130:V130,"Atlas")=6),"Intégré","À faire")</x:f>
        <x:v>Intégré</x:v>
      </x:c>
      <x:c r="G130" s="27" t="n">
        <x:f>COUNTIF(I130:P130,"Présent")</x:f>
        <x:v>8</x:v>
      </x:c>
      <x:c r="H130" s="24" t="str">
        <x:v>Archivé Drive</x:v>
      </x:c>
      <x:c r="I130" s="24" t="str">
        <x:v>Présent</x:v>
      </x:c>
      <x:c r="J130" s="24" t="str">
        <x:v>Présent</x:v>
      </x:c>
      <x:c r="K130" s="24" t="str">
        <x:v>Présent</x:v>
      </x:c>
      <x:c r="L130" s="24" t="str">
        <x:v>Présent</x:v>
      </x:c>
      <x:c r="M130" s="24" t="str">
        <x:v>Présent</x:v>
      </x:c>
      <x:c r="N130" s="24" t="str">
        <x:v>Présent</x:v>
      </x:c>
      <x:c r="O130" s="24" t="str">
        <x:v>Présent</x:v>
      </x:c>
      <x:c r="P130" s="24" t="str">
        <x:v>Présent</x:v>
      </x:c>
      <x:c r="Q130" s="24" t="str">
        <x:v>Atlas</x:v>
      </x:c>
      <x:c r="R130" s="24" t="str">
        <x:v>Atlas</x:v>
      </x:c>
      <x:c r="S130" s="24" t="str">
        <x:v>Atlas</x:v>
      </x:c>
      <x:c r="T130" s="24" t="str">
        <x:v>Atlas</x:v>
      </x:c>
      <x:c r="U130" s="24" t="str">
        <x:v>Atlas</x:v>
      </x:c>
      <x:c r="V130" s="24" t="str">
        <x:v>Atlas</x:v>
      </x:c>
      <x:c r="W130" s="24" t="str">
        <x:v>6/6 actuelles</x:v>
      </x:c>
      <x:c r="X130" s="24" t="str">
        <x:v>6/6 actuelles</x:v>
      </x:c>
      <x:c r="Y130" s="24" t="str">
        <x:v>Non consignée</x:v>
      </x:c>
      <x:c r="Z130" s="24" t="str">
        <x:v>Périmée (0/6)</x:v>
      </x:c>
      <x:c r="AA130" s="23" t="str">
        <x:v>QA actuelle. Accord non consigné ou périmé. Publication non consignée ou périmée.</x:v>
      </x:c>
      <x:c r="AB130" s="21" t="str">
        <x:v>34209f968444db816f75779cd5b876df002ae9d3</x:v>
      </x:c>
      <x:c r="AC130" s="21" t="str">
        <x:v>En cours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Lot 12</x:v>
      </x:c>
      <x:c r="E131" s="25" t="str">
        <x:v>Animaux</x:v>
      </x:c>
      <x:c r="F131" s="24" t="str">
        <x:f>IF(AND(G131=8,COUNTIF(Q131:V131,"Atlas")=6),"Intégré","À faire")</x:f>
        <x:v>Intégré</x:v>
      </x:c>
      <x:c r="G131" s="27" t="n">
        <x:f>COUNTIF(I131:P131,"Présent")</x:f>
        <x:v>8</x:v>
      </x:c>
      <x:c r="H131" s="24" t="str">
        <x:v>Archivé Drive</x:v>
      </x:c>
      <x:c r="I131" s="24" t="str">
        <x:v>Présent</x:v>
      </x:c>
      <x:c r="J131" s="24" t="str">
        <x:v>Présent</x:v>
      </x:c>
      <x:c r="K131" s="24" t="str">
        <x:v>Présent</x:v>
      </x:c>
      <x:c r="L131" s="24" t="str">
        <x:v>Présent</x:v>
      </x:c>
      <x:c r="M131" s="24" t="str">
        <x:v>Présent</x:v>
      </x:c>
      <x:c r="N131" s="24" t="str">
        <x:v>Présent</x:v>
      </x:c>
      <x:c r="O131" s="24" t="str">
        <x:v>Présent</x:v>
      </x:c>
      <x:c r="P131" s="24" t="str">
        <x:v>Présent</x:v>
      </x:c>
      <x:c r="Q131" s="24" t="str">
        <x:v>Atlas</x:v>
      </x:c>
      <x:c r="R131" s="24" t="str">
        <x:v>Atlas</x:v>
      </x:c>
      <x:c r="S131" s="24" t="str">
        <x:v>Atlas</x:v>
      </x:c>
      <x:c r="T131" s="24" t="str">
        <x:v>Atlas</x:v>
      </x:c>
      <x:c r="U131" s="24" t="str">
        <x:v>Atlas</x:v>
      </x:c>
      <x:c r="V131" s="24" t="str">
        <x:v>Atlas</x:v>
      </x:c>
      <x:c r="W131" s="24" t="str">
        <x:v>6/6 actuelles</x:v>
      </x:c>
      <x:c r="X131" s="24" t="str">
        <x:v>6/6 actuelles</x:v>
      </x:c>
      <x:c r="Y131" s="24" t="str">
        <x:v>Non consignée</x:v>
      </x:c>
      <x:c r="Z131" s="24" t="str">
        <x:v>Périmée (0/6)</x:v>
      </x:c>
      <x:c r="AA131" s="23" t="str">
        <x:v>QA actuelle. Accord non consigné ou périmé. Publication non consignée ou périmée.</x:v>
      </x:c>
      <x:c r="AB131" s="21" t="str">
        <x:v>b17117db72da867328bfee7e7b5ac7c17acc0aab</x:v>
      </x:c>
      <x:c r="AC131" s="21" t="str">
        <x:v>En cours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Lot 13</x:v>
      </x:c>
      <x:c r="E132" s="25" t="str">
        <x:v>Personnes</x:v>
      </x:c>
      <x:c r="F132" s="24" t="str">
        <x:f>IF(AND(G132=8,COUNTIF(Q132:V132,"Atlas")=6),"Intégré","À faire")</x:f>
        <x:v>Intégré</x:v>
      </x:c>
      <x:c r="G132" s="27" t="n">
        <x:f>COUNTIF(I132:P132,"Présent")</x:f>
        <x:v>8</x:v>
      </x:c>
      <x:c r="H132" s="24" t="str">
        <x:v>Archivé Drive</x:v>
      </x:c>
      <x:c r="I132" s="24" t="str">
        <x:v>Présent</x:v>
      </x:c>
      <x:c r="J132" s="24" t="str">
        <x:v>Présent</x:v>
      </x:c>
      <x:c r="K132" s="24" t="str">
        <x:v>Présent</x:v>
      </x:c>
      <x:c r="L132" s="24" t="str">
        <x:v>Présent</x:v>
      </x:c>
      <x:c r="M132" s="24" t="str">
        <x:v>Présent</x:v>
      </x:c>
      <x:c r="N132" s="24" t="str">
        <x:v>Présent</x:v>
      </x:c>
      <x:c r="O132" s="24" t="str">
        <x:v>Présent</x:v>
      </x:c>
      <x:c r="P132" s="24" t="str">
        <x:v>Présent</x:v>
      </x:c>
      <x:c r="Q132" s="24" t="str">
        <x:v>Atlas</x:v>
      </x:c>
      <x:c r="R132" s="24" t="str">
        <x:v>Atlas</x:v>
      </x:c>
      <x:c r="S132" s="24" t="str">
        <x:v>Atlas</x:v>
      </x:c>
      <x:c r="T132" s="24" t="str">
        <x:v>Atlas</x:v>
      </x:c>
      <x:c r="U132" s="24" t="str">
        <x:v>Atlas</x:v>
      </x:c>
      <x:c r="V132" s="24" t="str">
        <x:v>Atlas</x:v>
      </x:c>
      <x:c r="W132" s="24" t="str">
        <x:v>6/6 actuelles</x:v>
      </x:c>
      <x:c r="X132" s="24" t="str">
        <x:v>6/6 actuelles</x:v>
      </x:c>
      <x:c r="Y132" s="24" t="str">
        <x:v>Non consignée</x:v>
      </x:c>
      <x:c r="Z132" s="24" t="str">
        <x:v>Périmée (0/6)</x:v>
      </x:c>
      <x:c r="AA132" s="23" t="str">
        <x:v>QA actuelle. Accord non consigné ou périmé. Publication non consignée ou périmée.</x:v>
      </x:c>
      <x:c r="AB132" s="21" t="str">
        <x:v>e03821783020a61aeaaa58d22886e2118781efaa</x:v>
      </x:c>
      <x:c r="AC132" s="21" t="str">
        <x:v>En cours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QA actuelle. Accord non consigné ou périmé. Publication non consignée ou périmée.</x:v>
      </x:c>
      <x:c r="AB133" s="21" t="str">
        <x:v>34209f968444db816f75779cd5b876df002ae9d3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Lot 12</x:v>
      </x:c>
      <x:c r="E134" s="25" t="str">
        <x:v>Animaux</x:v>
      </x:c>
      <x:c r="F134" s="24" t="str">
        <x:f>IF(AND(G134=8,COUNTIF(Q134:V134,"Atlas")=6),"Intégré","À faire")</x:f>
        <x:v>Intégré</x:v>
      </x:c>
      <x:c r="G134" s="27" t="n">
        <x:f>COUNTIF(I134:P134,"Présent")</x:f>
        <x:v>8</x:v>
      </x:c>
      <x:c r="H134" s="24" t="str">
        <x:v>Archivé Drive</x:v>
      </x:c>
      <x:c r="I134" s="24" t="str">
        <x:v>Présent</x:v>
      </x:c>
      <x:c r="J134" s="24" t="str">
        <x:v>Présent</x:v>
      </x:c>
      <x:c r="K134" s="24" t="str">
        <x:v>Présent</x:v>
      </x:c>
      <x:c r="L134" s="24" t="str">
        <x:v>Présent</x:v>
      </x:c>
      <x:c r="M134" s="24" t="str">
        <x:v>Présent</x:v>
      </x:c>
      <x:c r="N134" s="24" t="str">
        <x:v>Présent</x:v>
      </x:c>
      <x:c r="O134" s="24" t="str">
        <x:v>Présent</x:v>
      </x:c>
      <x:c r="P134" s="24" t="str">
        <x:v>Présent</x:v>
      </x:c>
      <x:c r="Q134" s="24" t="str">
        <x:v>Atlas</x:v>
      </x:c>
      <x:c r="R134" s="24" t="str">
        <x:v>Atlas</x:v>
      </x:c>
      <x:c r="S134" s="24" t="str">
        <x:v>Atlas</x:v>
      </x:c>
      <x:c r="T134" s="24" t="str">
        <x:v>Atlas</x:v>
      </x:c>
      <x:c r="U134" s="24" t="str">
        <x:v>Atlas</x:v>
      </x:c>
      <x:c r="V134" s="24" t="str">
        <x:v>Atlas</x:v>
      </x:c>
      <x:c r="W134" s="24" t="str">
        <x:v>6/6 actuelles</x:v>
      </x:c>
      <x:c r="X134" s="24" t="str">
        <x:v>6/6 actuelles</x:v>
      </x:c>
      <x:c r="Y134" s="24" t="str">
        <x:v>Non consignée</x:v>
      </x:c>
      <x:c r="Z134" s="24" t="str">
        <x:v>Périmée (0/6)</x:v>
      </x:c>
      <x:c r="AA134" s="23" t="str">
        <x:v>QA actuelle. Accord non consigné ou périmé. Publication non consignée ou périmée.</x:v>
      </x:c>
      <x:c r="AB134" s="21" t="str">
        <x:v>b17117db72da867328bfee7e7b5ac7c17acc0aab</x:v>
      </x:c>
      <x:c r="AC134" s="21" t="str">
        <x:v>En cours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QA actuelle. Accord non consigné ou périmé. Publication non consignée ou périmée.</x:v>
      </x:c>
      <x:c r="AB135" s="21" t="str">
        <x:v>34209f968444db816f75779cd5b876df002ae9d3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Lot 13</x:v>
      </x:c>
      <x:c r="E136" s="25" t="str">
        <x:v>Actions</x:v>
      </x:c>
      <x:c r="F136" s="24" t="str">
        <x:f>IF(AND(G136=8,COUNTIF(Q136:V136,"Atlas")=6),"Intégré","À faire")</x:f>
        <x:v>Intégré</x:v>
      </x:c>
      <x:c r="G136" s="27" t="n">
        <x:f>COUNTIF(I136:P136,"Présent")</x:f>
        <x:v>8</x:v>
      </x:c>
      <x:c r="H136" s="24" t="str">
        <x:v>Archivé Drive</x:v>
      </x:c>
      <x:c r="I136" s="24" t="str">
        <x:v>Présent</x:v>
      </x:c>
      <x:c r="J136" s="24" t="str">
        <x:v>Présent</x:v>
      </x:c>
      <x:c r="K136" s="24" t="str">
        <x:v>Présent</x:v>
      </x:c>
      <x:c r="L136" s="24" t="str">
        <x:v>Présent</x:v>
      </x:c>
      <x:c r="M136" s="24" t="str">
        <x:v>Présent</x:v>
      </x:c>
      <x:c r="N136" s="24" t="str">
        <x:v>Présent</x:v>
      </x:c>
      <x:c r="O136" s="24" t="str">
        <x:v>Présent</x:v>
      </x:c>
      <x:c r="P136" s="24" t="str">
        <x:v>Présent</x:v>
      </x:c>
      <x:c r="Q136" s="24" t="str">
        <x:v>Atlas</x:v>
      </x:c>
      <x:c r="R136" s="24" t="str">
        <x:v>Atlas</x:v>
      </x:c>
      <x:c r="S136" s="24" t="str">
        <x:v>Atlas</x:v>
      </x:c>
      <x:c r="T136" s="24" t="str">
        <x:v>Atlas</x:v>
      </x:c>
      <x:c r="U136" s="24" t="str">
        <x:v>Atlas</x:v>
      </x:c>
      <x:c r="V136" s="24" t="str">
        <x:v>Atlas</x:v>
      </x:c>
      <x:c r="W136" s="24" t="str">
        <x:v>6/6 actuelles</x:v>
      </x:c>
      <x:c r="X136" s="24" t="str">
        <x:v>6/6 actuelles</x:v>
      </x:c>
      <x:c r="Y136" s="24" t="str">
        <x:v>Non consignée</x:v>
      </x:c>
      <x:c r="Z136" s="24" t="str">
        <x:v>Périmée (0/6)</x:v>
      </x:c>
      <x:c r="AA136" s="23" t="str">
        <x:v>QA actuelle. Accord non consigné ou périmé. Publication non consignée ou périmée.</x:v>
      </x:c>
      <x:c r="AB136" s="21" t="str">
        <x:v>e03821783020a61aeaaa58d22886e2118781efaa</x:v>
      </x:c>
      <x:c r="AC136" s="21" t="str">
        <x:v>En cours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Lot 11</x:v>
      </x:c>
      <x:c r="E137" s="25" t="str">
        <x:v>Personnes</x:v>
      </x:c>
      <x:c r="F137" s="24" t="str">
        <x:f>IF(AND(G137=8,COUNTIF(Q137:V137,"Atlas")=6),"Intégré","À faire")</x:f>
        <x:v>Intégré</x:v>
      </x:c>
      <x:c r="G137" s="27" t="n">
        <x:f>COUNTIF(I137:P137,"Présent")</x:f>
        <x:v>8</x:v>
      </x:c>
      <x:c r="H137" s="24" t="str">
        <x:v>Archivé Drive</x:v>
      </x:c>
      <x:c r="I137" s="24" t="str">
        <x:v>Présent</x:v>
      </x:c>
      <x:c r="J137" s="24" t="str">
        <x:v>Présent</x:v>
      </x:c>
      <x:c r="K137" s="24" t="str">
        <x:v>Présent</x:v>
      </x:c>
      <x:c r="L137" s="24" t="str">
        <x:v>Présent</x:v>
      </x:c>
      <x:c r="M137" s="24" t="str">
        <x:v>Présent</x:v>
      </x:c>
      <x:c r="N137" s="24" t="str">
        <x:v>Présent</x:v>
      </x:c>
      <x:c r="O137" s="24" t="str">
        <x:v>Présent</x:v>
      </x:c>
      <x:c r="P137" s="24" t="str">
        <x:v>Présent</x:v>
      </x:c>
      <x:c r="Q137" s="24" t="str">
        <x:v>Atlas</x:v>
      </x:c>
      <x:c r="R137" s="24" t="str">
        <x:v>Atlas</x:v>
      </x:c>
      <x:c r="S137" s="24" t="str">
        <x:v>Atlas</x:v>
      </x:c>
      <x:c r="T137" s="24" t="str">
        <x:v>Atlas</x:v>
      </x:c>
      <x:c r="U137" s="24" t="str">
        <x:v>Atlas</x:v>
      </x:c>
      <x:c r="V137" s="24" t="str">
        <x:v>Atlas</x:v>
      </x:c>
      <x:c r="W137" s="24" t="str">
        <x:v>6/6 actuelles</x:v>
      </x:c>
      <x:c r="X137" s="24" t="str">
        <x:v>6/6 actuelles</x:v>
      </x:c>
      <x:c r="Y137" s="24" t="str">
        <x:v>Non consignée</x:v>
      </x:c>
      <x:c r="Z137" s="24" t="str">
        <x:v>Périmée (0/6)</x:v>
      </x:c>
      <x:c r="AA137" s="23" t="str">
        <x:v>QA actuelle. Accord non consigné ou périmé. Publication non consignée ou périmée.</x:v>
      </x:c>
      <x:c r="AB137" s="21" t="str">
        <x:v>34209f968444db816f75779cd5b876df002ae9d3</x:v>
      </x:c>
      <x:c r="AC137" s="21" t="str">
        <x:v>En cours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Lot 14</x:v>
      </x:c>
      <x:c r="E138" s="25" t="str">
        <x:v>Ciel</x:v>
      </x:c>
      <x:c r="F138" s="24" t="str">
        <x:f>IF(AND(G138=8,COUNTIF(Q138:V138,"Atlas")=6),"Intégré","À faire")</x:f>
        <x:v>Intégré</x:v>
      </x:c>
      <x:c r="G138" s="27" t="n">
        <x:f>COUNTIF(I138:P138,"Présent")</x:f>
        <x:v>8</x:v>
      </x:c>
      <x:c r="H138" s="24" t="str">
        <x:v>Archivé Drive</x:v>
      </x:c>
      <x:c r="I138" s="24" t="str">
        <x:v>Présent</x:v>
      </x:c>
      <x:c r="J138" s="24" t="str">
        <x:v>Présent</x:v>
      </x:c>
      <x:c r="K138" s="24" t="str">
        <x:v>Présent</x:v>
      </x:c>
      <x:c r="L138" s="24" t="str">
        <x:v>Présent</x:v>
      </x:c>
      <x:c r="M138" s="24" t="str">
        <x:v>Présent</x:v>
      </x:c>
      <x:c r="N138" s="24" t="str">
        <x:v>Présent</x:v>
      </x:c>
      <x:c r="O138" s="24" t="str">
        <x:v>Présent</x:v>
      </x:c>
      <x:c r="P138" s="24" t="str">
        <x:v>Présent</x:v>
      </x:c>
      <x:c r="Q138" s="24" t="str">
        <x:v>Atlas</x:v>
      </x:c>
      <x:c r="R138" s="24" t="str">
        <x:v>Atlas</x:v>
      </x:c>
      <x:c r="S138" s="24" t="str">
        <x:v>Atlas</x:v>
      </x:c>
      <x:c r="T138" s="24" t="str">
        <x:v>Atlas</x:v>
      </x:c>
      <x:c r="U138" s="24" t="str">
        <x:v>Atlas</x:v>
      </x:c>
      <x:c r="V138" s="24" t="str">
        <x:v>Atlas</x:v>
      </x:c>
      <x:c r="W138" s="24" t="str">
        <x:v>6/6 actuelles</x:v>
      </x:c>
      <x:c r="X138" s="24" t="str">
        <x:v>6/6 actuelles</x:v>
      </x:c>
      <x:c r="Y138" s="24" t="str">
        <x:v>Non consignée</x:v>
      </x:c>
      <x:c r="Z138" s="24" t="str">
        <x:v>Périmée (0/6)</x:v>
      </x:c>
      <x:c r="AA138" s="23" t="str">
        <x:v>QA actuelle. Accord non consigné ou périmé. Publication non consignée ou périmée.</x:v>
      </x:c>
      <x:c r="AB138" s="21" t="str">
        <x:v>3eadba5f121c1017c032929534d269c330aa5abb</x:v>
      </x:c>
      <x:c r="AC138" s="21" t="str">
        <x:v>En cours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QA actuelle. Accord non consigné ou périmé. Publication non consignée ou périmée.</x:v>
      </x:c>
      <x:c r="AB139" s="21" t="str">
        <x:v>34209f968444db816f75779cd5b876df002ae9d3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6/6 actuelles</x:v>
      </x:c>
      <x:c r="X140" s="24" t="str">
        <x:v>6/6 actuelles</x:v>
      </x:c>
      <x:c r="Y140" s="24" t="str">
        <x:v>Non consignée</x:v>
      </x:c>
      <x:c r="Z140" s="24" t="str">
        <x:v>Périmée (0/6)</x:v>
      </x:c>
      <x:c r="AA140" s="23" t="str">
        <x:v>QA actuelle. Accord non consigné ou périmé. Publication non consignée ou périmée.</x:v>
      </x:c>
      <x:c r="AB140" s="21" t="str">
        <x:v>34209f968444db816f75779cd5b876df002ae9d3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QA actuelle. Accord non consigné ou périmé. Publication non consignée ou périmée.</x:v>
      </x:c>
      <x:c r="AB141" s="21" t="str">
        <x:v>34209f968444db816f75779cd5b876df002ae9d3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Lot 13</x:v>
      </x:c>
      <x:c r="E142" s="25" t="str">
        <x:v>Lieux</x:v>
      </x:c>
      <x:c r="F142" s="24" t="str">
        <x:f>IF(AND(G142=8,COUNTIF(Q142:V142,"Atlas")=6),"Intégré","À faire")</x:f>
        <x:v>Intégré</x:v>
      </x:c>
      <x:c r="G142" s="27" t="n">
        <x:f>COUNTIF(I142:P142,"Présent")</x:f>
        <x:v>8</x:v>
      </x:c>
      <x:c r="H142" s="24" t="str">
        <x:v>Archivé Drive</x:v>
      </x:c>
      <x:c r="I142" s="24" t="str">
        <x:v>Présent</x:v>
      </x:c>
      <x:c r="J142" s="24" t="str">
        <x:v>Présent</x:v>
      </x:c>
      <x:c r="K142" s="24" t="str">
        <x:v>Présent</x:v>
      </x:c>
      <x:c r="L142" s="24" t="str">
        <x:v>Présent</x:v>
      </x:c>
      <x:c r="M142" s="24" t="str">
        <x:v>Présent</x:v>
      </x:c>
      <x:c r="N142" s="24" t="str">
        <x:v>Présent</x:v>
      </x:c>
      <x:c r="O142" s="24" t="str">
        <x:v>Présent</x:v>
      </x:c>
      <x:c r="P142" s="24" t="str">
        <x:v>Présent</x:v>
      </x:c>
      <x:c r="Q142" s="24" t="str">
        <x:v>Atlas</x:v>
      </x:c>
      <x:c r="R142" s="24" t="str">
        <x:v>Atlas</x:v>
      </x:c>
      <x:c r="S142" s="24" t="str">
        <x:v>Atlas</x:v>
      </x:c>
      <x:c r="T142" s="24" t="str">
        <x:v>Atlas</x:v>
      </x:c>
      <x:c r="U142" s="24" t="str">
        <x:v>Atlas</x:v>
      </x:c>
      <x:c r="V142" s="24" t="str">
        <x:v>Atlas</x:v>
      </x:c>
      <x:c r="W142" s="24" t="str">
        <x:v>6/6 actuelles</x:v>
      </x:c>
      <x:c r="X142" s="24" t="str">
        <x:v>6/6 actuelles</x:v>
      </x:c>
      <x:c r="Y142" s="24" t="str">
        <x:v>Non consignée</x:v>
      </x:c>
      <x:c r="Z142" s="24" t="str">
        <x:v>Périmée (0/6)</x:v>
      </x:c>
      <x:c r="AA142" s="23" t="str">
        <x:v>QA actuelle. Accord non consigné ou périmé. Publication non consignée ou périmée.</x:v>
      </x:c>
      <x:c r="AB142" s="21" t="str">
        <x:v>e03821783020a61aeaaa58d22886e2118781efaa</x:v>
      </x:c>
      <x:c r="AC142" s="21" t="str">
        <x:v>En cours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Lot 12</x:v>
      </x:c>
      <x:c r="E143" s="25" t="str">
        <x:v>Animaux</x:v>
      </x:c>
      <x:c r="F143" s="24" t="str">
        <x:f>IF(AND(G143=8,COUNTIF(Q143:V143,"Atlas")=6),"Intégré","À faire")</x:f>
        <x:v>Intégré</x:v>
      </x:c>
      <x:c r="G143" s="27" t="n">
        <x:f>COUNTIF(I143:P143,"Présent")</x:f>
        <x:v>8</x:v>
      </x:c>
      <x:c r="H143" s="24" t="str">
        <x:v>Archivé Drive</x:v>
      </x:c>
      <x:c r="I143" s="24" t="str">
        <x:v>Présent</x:v>
      </x:c>
      <x:c r="J143" s="24" t="str">
        <x:v>Présent</x:v>
      </x:c>
      <x:c r="K143" s="24" t="str">
        <x:v>Présent</x:v>
      </x:c>
      <x:c r="L143" s="24" t="str">
        <x:v>Présent</x:v>
      </x:c>
      <x:c r="M143" s="24" t="str">
        <x:v>Présent</x:v>
      </x:c>
      <x:c r="N143" s="24" t="str">
        <x:v>Présent</x:v>
      </x:c>
      <x:c r="O143" s="24" t="str">
        <x:v>Présent</x:v>
      </x:c>
      <x:c r="P143" s="24" t="str">
        <x:v>Présent</x:v>
      </x:c>
      <x:c r="Q143" s="24" t="str">
        <x:v>Atlas</x:v>
      </x:c>
      <x:c r="R143" s="24" t="str">
        <x:v>Atlas</x:v>
      </x:c>
      <x:c r="S143" s="24" t="str">
        <x:v>Atlas</x:v>
      </x:c>
      <x:c r="T143" s="24" t="str">
        <x:v>Atlas</x:v>
      </x:c>
      <x:c r="U143" s="24" t="str">
        <x:v>Atlas</x:v>
      </x:c>
      <x:c r="V143" s="24" t="str">
        <x:v>Atlas</x:v>
      </x:c>
      <x:c r="W143" s="24" t="str">
        <x:v>6/6 actuelles</x:v>
      </x:c>
      <x:c r="X143" s="24" t="str">
        <x:v>6/6 actuelles</x:v>
      </x:c>
      <x:c r="Y143" s="24" t="str">
        <x:v>Non consignée</x:v>
      </x:c>
      <x:c r="Z143" s="24" t="str">
        <x:v>Périmée (0/6)</x:v>
      </x:c>
      <x:c r="AA143" s="23" t="str">
        <x:v>QA actuelle. Accord non consigné ou périmé. Publication non consignée ou périmée.</x:v>
      </x:c>
      <x:c r="AB143" s="21" t="str">
        <x:v>b17117db72da867328bfee7e7b5ac7c17acc0aab</x:v>
      </x:c>
      <x:c r="AC143" s="21" t="str">
        <x:v>En cours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Lot 13</x:v>
      </x:c>
      <x:c r="E144" s="25" t="str">
        <x:v>Actions</x:v>
      </x:c>
      <x:c r="F144" s="24" t="str">
        <x:f>IF(AND(G144=8,COUNTIF(Q144:V144,"Atlas")=6),"Intégré","À faire")</x:f>
        <x:v>Intégré</x:v>
      </x:c>
      <x:c r="G144" s="27" t="n">
        <x:f>COUNTIF(I144:P144,"Présent")</x:f>
        <x:v>8</x:v>
      </x:c>
      <x:c r="H144" s="24" t="str">
        <x:v>Archivé Drive</x:v>
      </x:c>
      <x:c r="I144" s="24" t="str">
        <x:v>Présent</x:v>
      </x:c>
      <x:c r="J144" s="24" t="str">
        <x:v>Présent</x:v>
      </x:c>
      <x:c r="K144" s="24" t="str">
        <x:v>Présent</x:v>
      </x:c>
      <x:c r="L144" s="24" t="str">
        <x:v>Présent</x:v>
      </x:c>
      <x:c r="M144" s="24" t="str">
        <x:v>Présent</x:v>
      </x:c>
      <x:c r="N144" s="24" t="str">
        <x:v>Présent</x:v>
      </x:c>
      <x:c r="O144" s="24" t="str">
        <x:v>Présent</x:v>
      </x:c>
      <x:c r="P144" s="24" t="str">
        <x:v>Présent</x:v>
      </x:c>
      <x:c r="Q144" s="24" t="str">
        <x:v>Atlas</x:v>
      </x:c>
      <x:c r="R144" s="24" t="str">
        <x:v>Atlas</x:v>
      </x:c>
      <x:c r="S144" s="24" t="str">
        <x:v>Atlas</x:v>
      </x:c>
      <x:c r="T144" s="24" t="str">
        <x:v>Atlas</x:v>
      </x:c>
      <x:c r="U144" s="24" t="str">
        <x:v>Atlas</x:v>
      </x:c>
      <x:c r="V144" s="24" t="str">
        <x:v>Atlas</x:v>
      </x:c>
      <x:c r="W144" s="24" t="str">
        <x:v>6/6 actuelles</x:v>
      </x:c>
      <x:c r="X144" s="24" t="str">
        <x:v>6/6 actuelles</x:v>
      </x:c>
      <x:c r="Y144" s="24" t="str">
        <x:v>Non consignée</x:v>
      </x:c>
      <x:c r="Z144" s="24" t="str">
        <x:v>Périmée (0/6)</x:v>
      </x:c>
      <x:c r="AA144" s="23" t="str">
        <x:v>QA actuelle. Accord non consigné ou périmé. Publication non consignée ou périmée.</x:v>
      </x:c>
      <x:c r="AB144" s="21" t="str">
        <x:v>e03821783020a61aeaaa58d22886e2118781efaa</x:v>
      </x:c>
      <x:c r="AC144" s="21" t="str">
        <x:v>En cours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QA actuelle. Accord non consigné ou périmé. Publication non consignée ou périmée.</x:v>
      </x:c>
      <x:c r="AB145" s="21" t="str">
        <x:v>34209f968444db816f75779cd5b876df002ae9d3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Lot 13</x:v>
      </x:c>
      <x:c r="E146" s="25" t="str">
        <x:v>Actions</x:v>
      </x:c>
      <x:c r="F146" s="24" t="str">
        <x:f>IF(AND(G146=8,COUNTIF(Q146:V146,"Atlas")=6),"Intégré","À faire")</x:f>
        <x:v>Intégré</x:v>
      </x:c>
      <x:c r="G146" s="27" t="n">
        <x:f>COUNTIF(I146:P146,"Présent")</x:f>
        <x:v>8</x:v>
      </x:c>
      <x:c r="H146" s="24" t="str">
        <x:v>Archivé Drive</x:v>
      </x:c>
      <x:c r="I146" s="24" t="str">
        <x:v>Présent</x:v>
      </x:c>
      <x:c r="J146" s="24" t="str">
        <x:v>Présent</x:v>
      </x:c>
      <x:c r="K146" s="24" t="str">
        <x:v>Présent</x:v>
      </x:c>
      <x:c r="L146" s="24" t="str">
        <x:v>Présent</x:v>
      </x:c>
      <x:c r="M146" s="24" t="str">
        <x:v>Présent</x:v>
      </x:c>
      <x:c r="N146" s="24" t="str">
        <x:v>Présent</x:v>
      </x:c>
      <x:c r="O146" s="24" t="str">
        <x:v>Présent</x:v>
      </x:c>
      <x:c r="P146" s="24" t="str">
        <x:v>Présent</x:v>
      </x:c>
      <x:c r="Q146" s="24" t="str">
        <x:v>Atlas</x:v>
      </x:c>
      <x:c r="R146" s="24" t="str">
        <x:v>Atlas</x:v>
      </x:c>
      <x:c r="S146" s="24" t="str">
        <x:v>Atlas</x:v>
      </x:c>
      <x:c r="T146" s="24" t="str">
        <x:v>Atlas</x:v>
      </x:c>
      <x:c r="U146" s="24" t="str">
        <x:v>Atlas</x:v>
      </x:c>
      <x:c r="V146" s="24" t="str">
        <x:v>Atlas</x:v>
      </x:c>
      <x:c r="W146" s="24" t="str">
        <x:v>6/6 actuelles</x:v>
      </x:c>
      <x:c r="X146" s="24" t="str">
        <x:v>6/6 actuelles</x:v>
      </x:c>
      <x:c r="Y146" s="24" t="str">
        <x:v>Non consignée</x:v>
      </x:c>
      <x:c r="Z146" s="24" t="str">
        <x:v>Périmée (0/6)</x:v>
      </x:c>
      <x:c r="AA146" s="23" t="str">
        <x:v>QA actuelle. Accord non consigné ou périmé. Publication non consignée ou périmée.</x:v>
      </x:c>
      <x:c r="AB146" s="21" t="str">
        <x:v>e03821783020a61aeaaa58d22886e2118781efaa</x:v>
      </x:c>
      <x:c r="AC146" s="21" t="str">
        <x:v>En cours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QA actuelle. Accord non consigné ou périmé. Publication non consignée ou périmée.</x:v>
      </x:c>
      <x:c r="AB147" s="21" t="str">
        <x:v>34209f968444db816f75779cd5b876df002ae9d3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Lot 13</x:v>
      </x:c>
      <x:c r="E148" s="25" t="str">
        <x:v>Actions</x:v>
      </x:c>
      <x:c r="F148" s="24" t="str">
        <x:f>IF(AND(G148=8,COUNTIF(Q148:V148,"Atlas")=6),"Intégré","À faire")</x:f>
        <x:v>Intégré</x:v>
      </x:c>
      <x:c r="G148" s="27" t="n">
        <x:f>COUNTIF(I148:P148,"Présent")</x:f>
        <x:v>8</x:v>
      </x:c>
      <x:c r="H148" s="24" t="str">
        <x:v>Archivé Drive</x:v>
      </x:c>
      <x:c r="I148" s="24" t="str">
        <x:v>Présent</x:v>
      </x:c>
      <x:c r="J148" s="24" t="str">
        <x:v>Présent</x:v>
      </x:c>
      <x:c r="K148" s="24" t="str">
        <x:v>Présent</x:v>
      </x:c>
      <x:c r="L148" s="24" t="str">
        <x:v>Présent</x:v>
      </x:c>
      <x:c r="M148" s="24" t="str">
        <x:v>Présent</x:v>
      </x:c>
      <x:c r="N148" s="24" t="str">
        <x:v>Présent</x:v>
      </x:c>
      <x:c r="O148" s="24" t="str">
        <x:v>Présent</x:v>
      </x:c>
      <x:c r="P148" s="24" t="str">
        <x:v>Présent</x:v>
      </x:c>
      <x:c r="Q148" s="24" t="str">
        <x:v>Atlas</x:v>
      </x:c>
      <x:c r="R148" s="24" t="str">
        <x:v>Atlas</x:v>
      </x:c>
      <x:c r="S148" s="24" t="str">
        <x:v>Atlas</x:v>
      </x:c>
      <x:c r="T148" s="24" t="str">
        <x:v>Atlas</x:v>
      </x:c>
      <x:c r="U148" s="24" t="str">
        <x:v>Atlas</x:v>
      </x:c>
      <x:c r="V148" s="24" t="str">
        <x:v>Atlas</x:v>
      </x:c>
      <x:c r="W148" s="24" t="str">
        <x:v>6/6 actuelles</x:v>
      </x:c>
      <x:c r="X148" s="24" t="str">
        <x:v>6/6 actuelles</x:v>
      </x:c>
      <x:c r="Y148" s="24" t="str">
        <x:v>Non consignée</x:v>
      </x:c>
      <x:c r="Z148" s="24" t="str">
        <x:v>Périmée (0/6)</x:v>
      </x:c>
      <x:c r="AA148" s="23" t="str">
        <x:v>QA actuelle. Accord non consigné ou périmé. Publication non consignée ou périmée.</x:v>
      </x:c>
      <x:c r="AB148" s="21" t="str">
        <x:v>e03821783020a61aeaaa58d22886e2118781efaa</x:v>
      </x:c>
      <x:c r="AC148" s="21" t="str">
        <x:v>En cours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Lot 11</x:v>
      </x:c>
      <x:c r="E149" s="25" t="str">
        <x:v>Actions</x:v>
      </x:c>
      <x:c r="F149" s="24" t="str">
        <x:f>IF(AND(G149=8,COUNTIF(Q149:V149,"Atlas")=6),"Intégré","À faire")</x:f>
        <x:v>Intégré</x:v>
      </x:c>
      <x:c r="G149" s="27" t="n">
        <x:f>COUNTIF(I149:P149,"Présent")</x:f>
        <x:v>8</x:v>
      </x:c>
      <x:c r="H149" s="24" t="str">
        <x:v>Archivé Drive</x:v>
      </x:c>
      <x:c r="I149" s="24" t="str">
        <x:v>Présent</x:v>
      </x:c>
      <x:c r="J149" s="24" t="str">
        <x:v>Présent</x:v>
      </x:c>
      <x:c r="K149" s="24" t="str">
        <x:v>Présent</x:v>
      </x:c>
      <x:c r="L149" s="24" t="str">
        <x:v>Présent</x:v>
      </x:c>
      <x:c r="M149" s="24" t="str">
        <x:v>Présent</x:v>
      </x:c>
      <x:c r="N149" s="24" t="str">
        <x:v>Présent</x:v>
      </x:c>
      <x:c r="O149" s="24" t="str">
        <x:v>Présent</x:v>
      </x:c>
      <x:c r="P149" s="24" t="str">
        <x:v>Présent</x:v>
      </x:c>
      <x:c r="Q149" s="24" t="str">
        <x:v>Atlas</x:v>
      </x:c>
      <x:c r="R149" s="24" t="str">
        <x:v>Atlas</x:v>
      </x:c>
      <x:c r="S149" s="24" t="str">
        <x:v>Atlas</x:v>
      </x:c>
      <x:c r="T149" s="24" t="str">
        <x:v>Atlas</x:v>
      </x:c>
      <x:c r="U149" s="24" t="str">
        <x:v>Atlas</x:v>
      </x:c>
      <x:c r="V149" s="24" t="str">
        <x:v>Atlas</x:v>
      </x:c>
      <x:c r="W149" s="24" t="str">
        <x:v>6/6 actuelles</x:v>
      </x:c>
      <x:c r="X149" s="24" t="str">
        <x:v>6/6 actuelles</x:v>
      </x:c>
      <x:c r="Y149" s="24" t="str">
        <x:v>Non consignée</x:v>
      </x:c>
      <x:c r="Z149" s="24" t="str">
        <x:v>Périmée (0/6)</x:v>
      </x:c>
      <x:c r="AA149" s="23" t="str">
        <x:v>QA actuelle. Accord non consigné ou périmé. Publication non consignée ou périmée.</x:v>
      </x:c>
      <x:c r="AB149" s="21" t="str">
        <x:v>34209f968444db816f75779cd5b876df002ae9d3</x:v>
      </x:c>
      <x:c r="AC149" s="21" t="str">
        <x:v>En cours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QA actuelle. Accord non consigné ou périmé. Publication non consignée ou périmée.</x:v>
      </x:c>
      <x:c r="AB150" s="21" t="str">
        <x:v>34209f968444db816f75779cd5b876df002ae9d3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QA actuelle. Accord non consigné ou périmé. Publication non consignée ou périmée.</x:v>
      </x:c>
      <x:c r="AB151" s="21" t="str">
        <x:v>34209f968444db816f75779cd5b876df002ae9d3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QA actuelle. Accord non consigné ou périmé. Publication non consignée ou périmée.</x:v>
      </x:c>
      <x:c r="AB152" s="21" t="str">
        <x:v>34209f968444db816f75779cd5b876df002ae9d3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Lot 13</x:v>
      </x:c>
      <x:c r="E153" s="25" t="str">
        <x:v>Personnes</x:v>
      </x:c>
      <x:c r="F153" s="24" t="str">
        <x:f>IF(AND(G153=8,COUNTIF(Q153:V153,"Atlas")=6),"Intégré","À faire")</x:f>
        <x:v>Intégré</x:v>
      </x:c>
      <x:c r="G153" s="27" t="n">
        <x:f>COUNTIF(I153:P153,"Présent")</x:f>
        <x:v>8</x:v>
      </x:c>
      <x:c r="H153" s="24" t="str">
        <x:v>Archivé Drive</x:v>
      </x:c>
      <x:c r="I153" s="24" t="str">
        <x:v>Présent</x:v>
      </x:c>
      <x:c r="J153" s="24" t="str">
        <x:v>Présent</x:v>
      </x:c>
      <x:c r="K153" s="24" t="str">
        <x:v>Présent</x:v>
      </x:c>
      <x:c r="L153" s="24" t="str">
        <x:v>Présent</x:v>
      </x:c>
      <x:c r="M153" s="24" t="str">
        <x:v>Présent</x:v>
      </x:c>
      <x:c r="N153" s="24" t="str">
        <x:v>Présent</x:v>
      </x:c>
      <x:c r="O153" s="24" t="str">
        <x:v>Présent</x:v>
      </x:c>
      <x:c r="P153" s="24" t="str">
        <x:v>Présent</x:v>
      </x:c>
      <x:c r="Q153" s="24" t="str">
        <x:v>Atlas</x:v>
      </x:c>
      <x:c r="R153" s="24" t="str">
        <x:v>Atlas</x:v>
      </x:c>
      <x:c r="S153" s="24" t="str">
        <x:v>Atlas</x:v>
      </x:c>
      <x:c r="T153" s="24" t="str">
        <x:v>Atlas</x:v>
      </x:c>
      <x:c r="U153" s="24" t="str">
        <x:v>Atlas</x:v>
      </x:c>
      <x:c r="V153" s="24" t="str">
        <x:v>Atlas</x:v>
      </x:c>
      <x:c r="W153" s="24" t="str">
        <x:v>6/6 actuelles</x:v>
      </x:c>
      <x:c r="X153" s="24" t="str">
        <x:v>6/6 actuelles</x:v>
      </x:c>
      <x:c r="Y153" s="24" t="str">
        <x:v>Non consignée</x:v>
      </x:c>
      <x:c r="Z153" s="24" t="str">
        <x:v>Périmée (0/6)</x:v>
      </x:c>
      <x:c r="AA153" s="23" t="str">
        <x:v>QA actuelle. Accord non consigné ou périmé. Publication non consignée ou périmée.</x:v>
      </x:c>
      <x:c r="AB153" s="21" t="str">
        <x:v>e03821783020a61aeaaa58d22886e2118781efaa</x:v>
      </x:c>
      <x:c r="AC153" s="21" t="str">
        <x:v>En cours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QA actuelle. Accord non consigné ou périmé. Publication non consignée ou périmée.</x:v>
      </x:c>
      <x:c r="AB154" s="21" t="str">
        <x:v>34209f968444db816f75779cd5b876df002ae9d3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Lot 11</x:v>
      </x:c>
      <x:c r="E155" s="25" t="str">
        <x:v>Personnes</x:v>
      </x:c>
      <x:c r="F155" s="24" t="str">
        <x:f>IF(AND(G155=8,COUNTIF(Q155:V155,"Atlas")=6),"Intégré","À faire")</x:f>
        <x:v>Intégré</x:v>
      </x:c>
      <x:c r="G155" s="27" t="n">
        <x:f>COUNTIF(I155:P155,"Présent")</x:f>
        <x:v>8</x:v>
      </x:c>
      <x:c r="H155" s="24" t="str">
        <x:v>Archivé Drive</x:v>
      </x:c>
      <x:c r="I155" s="24" t="str">
        <x:v>Présent</x:v>
      </x:c>
      <x:c r="J155" s="24" t="str">
        <x:v>Présent</x:v>
      </x:c>
      <x:c r="K155" s="24" t="str">
        <x:v>Présent</x:v>
      </x:c>
      <x:c r="L155" s="24" t="str">
        <x:v>Présent</x:v>
      </x:c>
      <x:c r="M155" s="24" t="str">
        <x:v>Présent</x:v>
      </x:c>
      <x:c r="N155" s="24" t="str">
        <x:v>Présent</x:v>
      </x:c>
      <x:c r="O155" s="24" t="str">
        <x:v>Présent</x:v>
      </x:c>
      <x:c r="P155" s="24" t="str">
        <x:v>Présent</x:v>
      </x:c>
      <x:c r="Q155" s="24" t="str">
        <x:v>Atlas</x:v>
      </x:c>
      <x:c r="R155" s="24" t="str">
        <x:v>Atlas</x:v>
      </x:c>
      <x:c r="S155" s="24" t="str">
        <x:v>Atlas</x:v>
      </x:c>
      <x:c r="T155" s="24" t="str">
        <x:v>Atlas</x:v>
      </x:c>
      <x:c r="U155" s="24" t="str">
        <x:v>Atlas</x:v>
      </x:c>
      <x:c r="V155" s="24" t="str">
        <x:v>Atlas</x:v>
      </x:c>
      <x:c r="W155" s="24" t="str">
        <x:v>6/6 actuelles</x:v>
      </x:c>
      <x:c r="X155" s="24" t="str">
        <x:v>6/6 actuelles</x:v>
      </x:c>
      <x:c r="Y155" s="24" t="str">
        <x:v>Non consignée</x:v>
      </x:c>
      <x:c r="Z155" s="24" t="str">
        <x:v>Périmée (0/6)</x:v>
      </x:c>
      <x:c r="AA155" s="23" t="str">
        <x:v>QA actuelle. Accord non consigné ou périmé. Publication non consignée ou périmée.</x:v>
      </x:c>
      <x:c r="AB155" s="21" t="str">
        <x:v>34209f968444db816f75779cd5b876df002ae9d3</x:v>
      </x:c>
      <x:c r="AC155" s="21" t="str">
        <x:v>En cours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Lot 12</x:v>
      </x:c>
      <x:c r="E156" s="25" t="str">
        <x:v>Animaux</x:v>
      </x:c>
      <x:c r="F156" s="24" t="str">
        <x:f>IF(AND(G156=8,COUNTIF(Q156:V156,"Atlas")=6),"Intégré","À faire")</x:f>
        <x:v>Intégré</x:v>
      </x:c>
      <x:c r="G156" s="27" t="n">
        <x:f>COUNTIF(I156:P156,"Présent")</x:f>
        <x:v>8</x:v>
      </x:c>
      <x:c r="H156" s="24" t="str">
        <x:v>Archivé Drive</x:v>
      </x:c>
      <x:c r="I156" s="24" t="str">
        <x:v>Présent</x:v>
      </x:c>
      <x:c r="J156" s="24" t="str">
        <x:v>Présent</x:v>
      </x:c>
      <x:c r="K156" s="24" t="str">
        <x:v>Présent</x:v>
      </x:c>
      <x:c r="L156" s="24" t="str">
        <x:v>Présent</x:v>
      </x:c>
      <x:c r="M156" s="24" t="str">
        <x:v>Présent</x:v>
      </x:c>
      <x:c r="N156" s="24" t="str">
        <x:v>Présent</x:v>
      </x:c>
      <x:c r="O156" s="24" t="str">
        <x:v>Présent</x:v>
      </x:c>
      <x:c r="P156" s="24" t="str">
        <x:v>Présent</x:v>
      </x:c>
      <x:c r="Q156" s="24" t="str">
        <x:v>Atlas</x:v>
      </x:c>
      <x:c r="R156" s="24" t="str">
        <x:v>Atlas</x:v>
      </x:c>
      <x:c r="S156" s="24" t="str">
        <x:v>Atlas</x:v>
      </x:c>
      <x:c r="T156" s="24" t="str">
        <x:v>Atlas</x:v>
      </x:c>
      <x:c r="U156" s="24" t="str">
        <x:v>Atlas</x:v>
      </x:c>
      <x:c r="V156" s="24" t="str">
        <x:v>Atlas</x:v>
      </x:c>
      <x:c r="W156" s="24" t="str">
        <x:v>6/6 actuelles</x:v>
      </x:c>
      <x:c r="X156" s="24" t="str">
        <x:v>6/6 actuelles</x:v>
      </x:c>
      <x:c r="Y156" s="24" t="str">
        <x:v>Non consignée</x:v>
      </x:c>
      <x:c r="Z156" s="24" t="str">
        <x:v>Périmée (0/6)</x:v>
      </x:c>
      <x:c r="AA156" s="23" t="str">
        <x:v>QA actuelle. Accord non consigné ou périmé. Publication non consignée ou périmée.</x:v>
      </x:c>
      <x:c r="AB156" s="21" t="str">
        <x:v>b17117db72da867328bfee7e7b5ac7c17acc0aab</x:v>
      </x:c>
      <x:c r="AC156" s="21" t="str">
        <x:v>En cours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QA actuelle. Accord non consigné ou périmé. Publication non consignée ou périmée.</x:v>
      </x:c>
      <x:c r="AB157" s="21" t="str">
        <x:v>34209f968444db816f75779cd5b876df002ae9d3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QA actuelle. Accord non consigné ou périmé. Publication non consignée ou périmée.</x:v>
      </x:c>
      <x:c r="AB158" s="21" t="str">
        <x:v>34209f968444db816f75779cd5b876df002ae9d3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QA actuelle. Accord non consigné ou périmé. Publication non consignée ou périmée.</x:v>
      </x:c>
      <x:c r="AB159" s="21" t="str">
        <x:v>34209f968444db816f75779cd5b876df002ae9d3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Lot 11</x:v>
      </x:c>
      <x:c r="E160" s="25" t="str">
        <x:v>Lieux</x:v>
      </x:c>
      <x:c r="F160" s="24" t="str">
        <x:f>IF(AND(G160=8,COUNTIF(Q160:V160,"Atlas")=6),"Intégré","À faire")</x:f>
        <x:v>Intégré</x:v>
      </x:c>
      <x:c r="G160" s="27" t="n">
        <x:f>COUNTIF(I160:P160,"Présent")</x:f>
        <x:v>8</x:v>
      </x:c>
      <x:c r="H160" s="24" t="str">
        <x:v>Archivé Drive</x:v>
      </x:c>
      <x:c r="I160" s="24" t="str">
        <x:v>Présent</x:v>
      </x:c>
      <x:c r="J160" s="24" t="str">
        <x:v>Présent</x:v>
      </x:c>
      <x:c r="K160" s="24" t="str">
        <x:v>Présent</x:v>
      </x:c>
      <x:c r="L160" s="24" t="str">
        <x:v>Présent</x:v>
      </x:c>
      <x:c r="M160" s="24" t="str">
        <x:v>Présent</x:v>
      </x:c>
      <x:c r="N160" s="24" t="str">
        <x:v>Présent</x:v>
      </x:c>
      <x:c r="O160" s="24" t="str">
        <x:v>Présent</x:v>
      </x:c>
      <x:c r="P160" s="24" t="str">
        <x:v>Présent</x:v>
      </x:c>
      <x:c r="Q160" s="24" t="str">
        <x:v>Atlas</x:v>
      </x:c>
      <x:c r="R160" s="24" t="str">
        <x:v>Atlas</x:v>
      </x:c>
      <x:c r="S160" s="24" t="str">
        <x:v>Atlas</x:v>
      </x:c>
      <x:c r="T160" s="24" t="str">
        <x:v>Atlas</x:v>
      </x:c>
      <x:c r="U160" s="24" t="str">
        <x:v>Atlas</x:v>
      </x:c>
      <x:c r="V160" s="24" t="str">
        <x:v>Atlas</x:v>
      </x:c>
      <x:c r="W160" s="24" t="str">
        <x:v>6/6 actuelles</x:v>
      </x:c>
      <x:c r="X160" s="24" t="str">
        <x:v>6/6 actuelles</x:v>
      </x:c>
      <x:c r="Y160" s="24" t="str">
        <x:v>Non consignée</x:v>
      </x:c>
      <x:c r="Z160" s="24" t="str">
        <x:v>Périmée (0/6)</x:v>
      </x:c>
      <x:c r="AA160" s="23" t="str">
        <x:v>QA actuelle. Accord non consigné ou périmé. Publication non consignée ou périmée.</x:v>
      </x:c>
      <x:c r="AB160" s="21" t="str">
        <x:v>34209f968444db816f75779cd5b876df002ae9d3</x:v>
      </x:c>
      <x:c r="AC160" s="21" t="str">
        <x:v>En cours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Lot 12</x:v>
      </x:c>
      <x:c r="E161" s="25" t="str">
        <x:v>Animaux</x:v>
      </x:c>
      <x:c r="F161" s="24" t="str">
        <x:f>IF(AND(G161=8,COUNTIF(Q161:V161,"Atlas")=6),"Intégré","À faire")</x:f>
        <x:v>Intégré</x:v>
      </x:c>
      <x:c r="G161" s="27" t="n">
        <x:f>COUNTIF(I161:P161,"Présent")</x:f>
        <x:v>8</x:v>
      </x:c>
      <x:c r="H161" s="24" t="str">
        <x:v>Archivé Drive</x:v>
      </x:c>
      <x:c r="I161" s="24" t="str">
        <x:v>Présent</x:v>
      </x:c>
      <x:c r="J161" s="24" t="str">
        <x:v>Présent</x:v>
      </x:c>
      <x:c r="K161" s="24" t="str">
        <x:v>Présent</x:v>
      </x:c>
      <x:c r="L161" s="24" t="str">
        <x:v>Présent</x:v>
      </x:c>
      <x:c r="M161" s="24" t="str">
        <x:v>Présent</x:v>
      </x:c>
      <x:c r="N161" s="24" t="str">
        <x:v>Présent</x:v>
      </x:c>
      <x:c r="O161" s="24" t="str">
        <x:v>Présent</x:v>
      </x:c>
      <x:c r="P161" s="24" t="str">
        <x:v>Présent</x:v>
      </x:c>
      <x:c r="Q161" s="24" t="str">
        <x:v>Atlas</x:v>
      </x:c>
      <x:c r="R161" s="24" t="str">
        <x:v>Atlas</x:v>
      </x:c>
      <x:c r="S161" s="24" t="str">
        <x:v>Atlas</x:v>
      </x:c>
      <x:c r="T161" s="24" t="str">
        <x:v>Atlas</x:v>
      </x:c>
      <x:c r="U161" s="24" t="str">
        <x:v>Atlas</x:v>
      </x:c>
      <x:c r="V161" s="24" t="str">
        <x:v>Atlas</x:v>
      </x:c>
      <x:c r="W161" s="24" t="str">
        <x:v>6/6 actuelles</x:v>
      </x:c>
      <x:c r="X161" s="24" t="str">
        <x:v>6/6 actuelles</x:v>
      </x:c>
      <x:c r="Y161" s="24" t="str">
        <x:v>Non consignée</x:v>
      </x:c>
      <x:c r="Z161" s="24" t="str">
        <x:v>Périmée (0/6)</x:v>
      </x:c>
      <x:c r="AA161" s="23" t="str">
        <x:v>QA actuelle. Accord non consigné ou périmé. Publication non consignée ou périmée.</x:v>
      </x:c>
      <x:c r="AB161" s="21" t="str">
        <x:v>b17117db72da867328bfee7e7b5ac7c17acc0aab</x:v>
      </x:c>
      <x:c r="AC161" s="21" t="str">
        <x:v>En cours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QA actuelle. Accord non consigné ou périmé. Publication non consignée ou périmée.</x:v>
      </x:c>
      <x:c r="AB162" s="21" t="str">
        <x:v>34209f968444db816f75779cd5b876df002ae9d3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6/6 actuelles</x:v>
      </x:c>
      <x:c r="X163" s="24" t="str">
        <x:v>6/6 actuelles</x:v>
      </x:c>
      <x:c r="Y163" s="24" t="str">
        <x:v>Non consignée</x:v>
      </x:c>
      <x:c r="Z163" s="24" t="str">
        <x:v>Périmée (0/6)</x:v>
      </x:c>
      <x:c r="AA163" s="23" t="str">
        <x:v>QA actuelle. Accord non consigné ou périmé. Publication non consignée ou périmée.</x:v>
      </x:c>
      <x:c r="AB163" s="21" t="str">
        <x:v>34209f968444db816f75779cd5b876df002ae9d3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Lot 13</x:v>
      </x:c>
      <x:c r="E164" s="25" t="str">
        <x:v>Animaux</x:v>
      </x:c>
      <x:c r="F164" s="24" t="str">
        <x:f>IF(AND(G164=8,COUNTIF(Q164:V164,"Atlas")=6),"Intégré","À faire")</x:f>
        <x:v>Intégré</x:v>
      </x:c>
      <x:c r="G164" s="27" t="n">
        <x:f>COUNTIF(I164:P164,"Présent")</x:f>
        <x:v>8</x:v>
      </x:c>
      <x:c r="H164" s="24" t="str">
        <x:v>Archivé Drive</x:v>
      </x:c>
      <x:c r="I164" s="24" t="str">
        <x:v>Présent</x:v>
      </x:c>
      <x:c r="J164" s="24" t="str">
        <x:v>Présent</x:v>
      </x:c>
      <x:c r="K164" s="24" t="str">
        <x:v>Présent</x:v>
      </x:c>
      <x:c r="L164" s="24" t="str">
        <x:v>Présent</x:v>
      </x:c>
      <x:c r="M164" s="24" t="str">
        <x:v>Présent</x:v>
      </x:c>
      <x:c r="N164" s="24" t="str">
        <x:v>Présent</x:v>
      </x:c>
      <x:c r="O164" s="24" t="str">
        <x:v>Présent</x:v>
      </x:c>
      <x:c r="P164" s="24" t="str">
        <x:v>Présent</x:v>
      </x:c>
      <x:c r="Q164" s="24" t="str">
        <x:v>Atlas</x:v>
      </x:c>
      <x:c r="R164" s="24" t="str">
        <x:v>Atlas</x:v>
      </x:c>
      <x:c r="S164" s="24" t="str">
        <x:v>Atlas</x:v>
      </x:c>
      <x:c r="T164" s="24" t="str">
        <x:v>Atlas</x:v>
      </x:c>
      <x:c r="U164" s="24" t="str">
        <x:v>Atlas</x:v>
      </x:c>
      <x:c r="V164" s="24" t="str">
        <x:v>Atlas</x:v>
      </x:c>
      <x:c r="W164" s="24" t="str">
        <x:v>6/6 actuelles</x:v>
      </x:c>
      <x:c r="X164" s="24" t="str">
        <x:v>6/6 actuelles</x:v>
      </x:c>
      <x:c r="Y164" s="24" t="str">
        <x:v>Non consignée</x:v>
      </x:c>
      <x:c r="Z164" s="24" t="str">
        <x:v>Périmée (0/6)</x:v>
      </x:c>
      <x:c r="AA164" s="23" t="str">
        <x:v>QA actuelle. Accord non consigné ou périmé. Publication non consignée ou périmée.</x:v>
      </x:c>
      <x:c r="AB164" s="21" t="str">
        <x:v>e03821783020a61aeaaa58d22886e2118781efaa</x:v>
      </x:c>
      <x:c r="AC164" s="21" t="str">
        <x:v>En cours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Lot 13</x:v>
      </x:c>
      <x:c r="E165" s="25" t="str">
        <x:v>Actions</x:v>
      </x:c>
      <x:c r="F165" s="24" t="str">
        <x:f>IF(AND(G165=8,COUNTIF(Q165:V165,"Atlas")=6),"Intégré","À faire")</x:f>
        <x:v>Intégré</x:v>
      </x:c>
      <x:c r="G165" s="27" t="n">
        <x:f>COUNTIF(I165:P165,"Présent")</x:f>
        <x:v>8</x:v>
      </x:c>
      <x:c r="H165" s="24" t="str">
        <x:v>Archivé Drive</x:v>
      </x:c>
      <x:c r="I165" s="24" t="str">
        <x:v>Présent</x:v>
      </x:c>
      <x:c r="J165" s="24" t="str">
        <x:v>Présent</x:v>
      </x:c>
      <x:c r="K165" s="24" t="str">
        <x:v>Présent</x:v>
      </x:c>
      <x:c r="L165" s="24" t="str">
        <x:v>Présent</x:v>
      </x:c>
      <x:c r="M165" s="24" t="str">
        <x:v>Présent</x:v>
      </x:c>
      <x:c r="N165" s="24" t="str">
        <x:v>Présent</x:v>
      </x:c>
      <x:c r="O165" s="24" t="str">
        <x:v>Présent</x:v>
      </x:c>
      <x:c r="P165" s="24" t="str">
        <x:v>Présent</x:v>
      </x:c>
      <x:c r="Q165" s="24" t="str">
        <x:v>Atlas</x:v>
      </x:c>
      <x:c r="R165" s="24" t="str">
        <x:v>Atlas</x:v>
      </x:c>
      <x:c r="S165" s="24" t="str">
        <x:v>Atlas</x:v>
      </x:c>
      <x:c r="T165" s="24" t="str">
        <x:v>Atlas</x:v>
      </x:c>
      <x:c r="U165" s="24" t="str">
        <x:v>Atlas</x:v>
      </x:c>
      <x:c r="V165" s="24" t="str">
        <x:v>Atlas</x:v>
      </x:c>
      <x:c r="W165" s="24" t="str">
        <x:v>6/6 actuelles</x:v>
      </x:c>
      <x:c r="X165" s="24" t="str">
        <x:v>6/6 actuelles</x:v>
      </x:c>
      <x:c r="Y165" s="24" t="str">
        <x:v>Non consignée</x:v>
      </x:c>
      <x:c r="Z165" s="24" t="str">
        <x:v>Périmée (0/6)</x:v>
      </x:c>
      <x:c r="AA165" s="23" t="str">
        <x:v>QA actuelle. Accord non consigné ou périmé. Publication non consignée ou périmée.</x:v>
      </x:c>
      <x:c r="AB165" s="21" t="str">
        <x:v>e03821783020a61aeaaa58d22886e2118781efaa</x:v>
      </x:c>
      <x:c r="AC165" s="21" t="str">
        <x:v>En cours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6/6 actuelles</x:v>
      </x:c>
      <x:c r="X166" s="24" t="str">
        <x:v>6/6 actuelles</x:v>
      </x:c>
      <x:c r="Y166" s="24" t="str">
        <x:v>Non consignée</x:v>
      </x:c>
      <x:c r="Z166" s="24" t="str">
        <x:v>Périmée (0/6)</x:v>
      </x:c>
      <x:c r="AA166" s="23" t="str">
        <x:v>QA actuelle. Accord non consigné ou périmé. Publication non consignée ou périmée.</x:v>
      </x:c>
      <x:c r="AB166" s="21" t="str">
        <x:v>34209f968444db816f75779cd5b876df002ae9d3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QA actuelle. Accord non consigné ou périmé. Publication non consignée ou périmée.</x:v>
      </x:c>
      <x:c r="AB167" s="21" t="str">
        <x:v>34209f968444db816f75779cd5b876df002ae9d3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Lot 12</x:v>
      </x:c>
      <x:c r="E168" s="25" t="str">
        <x:v>Lieux</x:v>
      </x:c>
      <x:c r="F168" s="24" t="str">
        <x:f>IF(AND(G168=8,COUNTIF(Q168:V168,"Atlas")=6),"Intégré","À faire")</x:f>
        <x:v>Intégré</x:v>
      </x:c>
      <x:c r="G168" s="27" t="n">
        <x:f>COUNTIF(I168:P168,"Présent")</x:f>
        <x:v>8</x:v>
      </x:c>
      <x:c r="H168" s="24" t="str">
        <x:v>Archivé Drive</x:v>
      </x:c>
      <x:c r="I168" s="24" t="str">
        <x:v>Présent</x:v>
      </x:c>
      <x:c r="J168" s="24" t="str">
        <x:v>Présent</x:v>
      </x:c>
      <x:c r="K168" s="24" t="str">
        <x:v>Présent</x:v>
      </x:c>
      <x:c r="L168" s="24" t="str">
        <x:v>Présent</x:v>
      </x:c>
      <x:c r="M168" s="24" t="str">
        <x:v>Présent</x:v>
      </x:c>
      <x:c r="N168" s="24" t="str">
        <x:v>Présent</x:v>
      </x:c>
      <x:c r="O168" s="24" t="str">
        <x:v>Présent</x:v>
      </x:c>
      <x:c r="P168" s="24" t="str">
        <x:v>Présent</x:v>
      </x:c>
      <x:c r="Q168" s="24" t="str">
        <x:v>Atlas</x:v>
      </x:c>
      <x:c r="R168" s="24" t="str">
        <x:v>Atlas</x:v>
      </x:c>
      <x:c r="S168" s="24" t="str">
        <x:v>Atlas</x:v>
      </x:c>
      <x:c r="T168" s="24" t="str">
        <x:v>Atlas</x:v>
      </x:c>
      <x:c r="U168" s="24" t="str">
        <x:v>Atlas</x:v>
      </x:c>
      <x:c r="V168" s="24" t="str">
        <x:v>Atlas</x:v>
      </x:c>
      <x:c r="W168" s="24" t="str">
        <x:v>6/6 actuelles</x:v>
      </x:c>
      <x:c r="X168" s="24" t="str">
        <x:v>6/6 actuelles</x:v>
      </x:c>
      <x:c r="Y168" s="24" t="str">
        <x:v>Non consignée</x:v>
      </x:c>
      <x:c r="Z168" s="24" t="str">
        <x:v>Périmée (0/6)</x:v>
      </x:c>
      <x:c r="AA168" s="23" t="str">
        <x:v>QA actuelle. Accord non consigné ou périmé. Publication non consignée ou périmée.</x:v>
      </x:c>
      <x:c r="AB168" s="21" t="str">
        <x:v>b17117db72da867328bfee7e7b5ac7c17acc0aab</x:v>
      </x:c>
      <x:c r="AC168" s="21" t="str">
        <x:v>En cours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Lot 12</x:v>
      </x:c>
      <x:c r="E169" s="25" t="str">
        <x:v>Lieux</x:v>
      </x:c>
      <x:c r="F169" s="24" t="str">
        <x:f>IF(AND(G169=8,COUNTIF(Q169:V169,"Atlas")=6),"Intégré","À faire")</x:f>
        <x:v>Intégré</x:v>
      </x:c>
      <x:c r="G169" s="27" t="n">
        <x:f>COUNTIF(I169:P169,"Présent")</x:f>
        <x:v>8</x:v>
      </x:c>
      <x:c r="H169" s="24" t="str">
        <x:v>Archivé Drive</x:v>
      </x:c>
      <x:c r="I169" s="24" t="str">
        <x:v>Présent</x:v>
      </x:c>
      <x:c r="J169" s="24" t="str">
        <x:v>Présent</x:v>
      </x:c>
      <x:c r="K169" s="24" t="str">
        <x:v>Présent</x:v>
      </x:c>
      <x:c r="L169" s="24" t="str">
        <x:v>Présent</x:v>
      </x:c>
      <x:c r="M169" s="24" t="str">
        <x:v>Présent</x:v>
      </x:c>
      <x:c r="N169" s="24" t="str">
        <x:v>Présent</x:v>
      </x:c>
      <x:c r="O169" s="24" t="str">
        <x:v>Présent</x:v>
      </x:c>
      <x:c r="P169" s="24" t="str">
        <x:v>Présent</x:v>
      </x:c>
      <x:c r="Q169" s="24" t="str">
        <x:v>Atlas</x:v>
      </x:c>
      <x:c r="R169" s="24" t="str">
        <x:v>Atlas</x:v>
      </x:c>
      <x:c r="S169" s="24" t="str">
        <x:v>Atlas</x:v>
      </x:c>
      <x:c r="T169" s="24" t="str">
        <x:v>Atlas</x:v>
      </x:c>
      <x:c r="U169" s="24" t="str">
        <x:v>Atlas</x:v>
      </x:c>
      <x:c r="V169" s="24" t="str">
        <x:v>Atlas</x:v>
      </x:c>
      <x:c r="W169" s="24" t="str">
        <x:v>6/6 actuelles</x:v>
      </x:c>
      <x:c r="X169" s="24" t="str">
        <x:v>6/6 actuelles</x:v>
      </x:c>
      <x:c r="Y169" s="24" t="str">
        <x:v>Non consignée</x:v>
      </x:c>
      <x:c r="Z169" s="24" t="str">
        <x:v>Périmée (0/6)</x:v>
      </x:c>
      <x:c r="AA169" s="23" t="str">
        <x:v>QA actuelle. Accord non consigné ou périmé. Publication non consignée ou périmée.</x:v>
      </x:c>
      <x:c r="AB169" s="21" t="str">
        <x:v>b17117db72da867328bfee7e7b5ac7c17acc0aab</x:v>
      </x:c>
      <x:c r="AC169" s="21" t="str">
        <x:v>En cours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Lot 11</x:v>
      </x:c>
      <x:c r="E170" s="25" t="str">
        <x:v>Actions</x:v>
      </x:c>
      <x:c r="F170" s="24" t="str">
        <x:f>IF(AND(G170=8,COUNTIF(Q170:V170,"Atlas")=6),"Intégré","À faire")</x:f>
        <x:v>Intégré</x:v>
      </x:c>
      <x:c r="G170" s="27" t="n">
        <x:f>COUNTIF(I170:P170,"Présent")</x:f>
        <x:v>8</x:v>
      </x:c>
      <x:c r="H170" s="24" t="str">
        <x:v>Archivé Drive</x:v>
      </x:c>
      <x:c r="I170" s="24" t="str">
        <x:v>Présent</x:v>
      </x:c>
      <x:c r="J170" s="24" t="str">
        <x:v>Présent</x:v>
      </x:c>
      <x:c r="K170" s="24" t="str">
        <x:v>Présent</x:v>
      </x:c>
      <x:c r="L170" s="24" t="str">
        <x:v>Présent</x:v>
      </x:c>
      <x:c r="M170" s="24" t="str">
        <x:v>Présent</x:v>
      </x:c>
      <x:c r="N170" s="24" t="str">
        <x:v>Présent</x:v>
      </x:c>
      <x:c r="O170" s="24" t="str">
        <x:v>Présent</x:v>
      </x:c>
      <x:c r="P170" s="24" t="str">
        <x:v>Présent</x:v>
      </x:c>
      <x:c r="Q170" s="24" t="str">
        <x:v>Atlas</x:v>
      </x:c>
      <x:c r="R170" s="24" t="str">
        <x:v>Atlas</x:v>
      </x:c>
      <x:c r="S170" s="24" t="str">
        <x:v>Atlas</x:v>
      </x:c>
      <x:c r="T170" s="24" t="str">
        <x:v>Atlas</x:v>
      </x:c>
      <x:c r="U170" s="24" t="str">
        <x:v>Atlas</x:v>
      </x:c>
      <x:c r="V170" s="24" t="str">
        <x:v>Atlas</x:v>
      </x:c>
      <x:c r="W170" s="24" t="str">
        <x:v>6/6 actuelles</x:v>
      </x:c>
      <x:c r="X170" s="24" t="str">
        <x:v>6/6 actuelles</x:v>
      </x:c>
      <x:c r="Y170" s="24" t="str">
        <x:v>Non consignée</x:v>
      </x:c>
      <x:c r="Z170" s="24" t="str">
        <x:v>Périmée (0/6)</x:v>
      </x:c>
      <x:c r="AA170" s="23" t="str">
        <x:v>QA actuelle. Accord non consigné ou périmé. Publication non consignée ou périmée.</x:v>
      </x:c>
      <x:c r="AB170" s="21" t="str">
        <x:v>34209f968444db816f75779cd5b876df002ae9d3</x:v>
      </x:c>
      <x:c r="AC170" s="21" t="str">
        <x:v>En cours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QA actuelle. Accord non consigné ou périmé. Publication non consignée ou périmée.</x:v>
      </x:c>
      <x:c r="AB171" s="21" t="str">
        <x:v>34209f968444db816f75779cd5b876df002ae9d3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Lot 13</x:v>
      </x:c>
      <x:c r="E172" s="25" t="str">
        <x:v>Actions</x:v>
      </x:c>
      <x:c r="F172" s="24" t="str">
        <x:f>IF(AND(G172=8,COUNTIF(Q172:V172,"Atlas")=6),"Intégré","À faire")</x:f>
        <x:v>Intégré</x:v>
      </x:c>
      <x:c r="G172" s="27" t="n">
        <x:f>COUNTIF(I172:P172,"Présent")</x:f>
        <x:v>8</x:v>
      </x:c>
      <x:c r="H172" s="24" t="str">
        <x:v>Archivé Drive</x:v>
      </x:c>
      <x:c r="I172" s="24" t="str">
        <x:v>Présent</x:v>
      </x:c>
      <x:c r="J172" s="24" t="str">
        <x:v>Présent</x:v>
      </x:c>
      <x:c r="K172" s="24" t="str">
        <x:v>Présent</x:v>
      </x:c>
      <x:c r="L172" s="24" t="str">
        <x:v>Présent</x:v>
      </x:c>
      <x:c r="M172" s="24" t="str">
        <x:v>Présent</x:v>
      </x:c>
      <x:c r="N172" s="24" t="str">
        <x:v>Présent</x:v>
      </x:c>
      <x:c r="O172" s="24" t="str">
        <x:v>Présent</x:v>
      </x:c>
      <x:c r="P172" s="24" t="str">
        <x:v>Présent</x:v>
      </x:c>
      <x:c r="Q172" s="24" t="str">
        <x:v>Atlas</x:v>
      </x:c>
      <x:c r="R172" s="24" t="str">
        <x:v>Atlas</x:v>
      </x:c>
      <x:c r="S172" s="24" t="str">
        <x:v>Atlas</x:v>
      </x:c>
      <x:c r="T172" s="24" t="str">
        <x:v>Atlas</x:v>
      </x:c>
      <x:c r="U172" s="24" t="str">
        <x:v>Atlas</x:v>
      </x:c>
      <x:c r="V172" s="24" t="str">
        <x:v>Atlas</x:v>
      </x:c>
      <x:c r="W172" s="24" t="str">
        <x:v>6/6 actuelles</x:v>
      </x:c>
      <x:c r="X172" s="24" t="str">
        <x:v>6/6 actuelles</x:v>
      </x:c>
      <x:c r="Y172" s="24" t="str">
        <x:v>Non consignée</x:v>
      </x:c>
      <x:c r="Z172" s="24" t="str">
        <x:v>Périmée (0/6)</x:v>
      </x:c>
      <x:c r="AA172" s="23" t="str">
        <x:v>QA actuelle. Accord non consigné ou périmé. Publication non consignée ou périmée.</x:v>
      </x:c>
      <x:c r="AB172" s="21" t="str">
        <x:v>e03821783020a61aeaaa58d22886e2118781efaa</x:v>
      </x:c>
      <x:c r="AC172" s="21" t="str">
        <x:v>En cours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QA actuelle. Accord non consigné ou périmé. Publication non consignée ou périmée.</x:v>
      </x:c>
      <x:c r="AB173" s="21" t="str">
        <x:v>34209f968444db816f75779cd5b876df002ae9d3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Lot 12</x:v>
      </x:c>
      <x:c r="E174" s="25" t="str">
        <x:v>Lieux</x:v>
      </x:c>
      <x:c r="F174" s="24" t="str">
        <x:f>IF(AND(G174=8,COUNTIF(Q174:V174,"Atlas")=6),"Intégré","À faire")</x:f>
        <x:v>Intégré</x:v>
      </x:c>
      <x:c r="G174" s="27" t="n">
        <x:f>COUNTIF(I174:P174,"Présent")</x:f>
        <x:v>8</x:v>
      </x:c>
      <x:c r="H174" s="24" t="str">
        <x:v>Archivé Drive</x:v>
      </x:c>
      <x:c r="I174" s="24" t="str">
        <x:v>Présent</x:v>
      </x:c>
      <x:c r="J174" s="24" t="str">
        <x:v>Présent</x:v>
      </x:c>
      <x:c r="K174" s="24" t="str">
        <x:v>Présent</x:v>
      </x:c>
      <x:c r="L174" s="24" t="str">
        <x:v>Présent</x:v>
      </x:c>
      <x:c r="M174" s="24" t="str">
        <x:v>Présent</x:v>
      </x:c>
      <x:c r="N174" s="24" t="str">
        <x:v>Présent</x:v>
      </x:c>
      <x:c r="O174" s="24" t="str">
        <x:v>Présent</x:v>
      </x:c>
      <x:c r="P174" s="24" t="str">
        <x:v>Présent</x:v>
      </x:c>
      <x:c r="Q174" s="24" t="str">
        <x:v>Atlas</x:v>
      </x:c>
      <x:c r="R174" s="24" t="str">
        <x:v>Atlas</x:v>
      </x:c>
      <x:c r="S174" s="24" t="str">
        <x:v>Atlas</x:v>
      </x:c>
      <x:c r="T174" s="24" t="str">
        <x:v>Atlas</x:v>
      </x:c>
      <x:c r="U174" s="24" t="str">
        <x:v>Atlas</x:v>
      </x:c>
      <x:c r="V174" s="24" t="str">
        <x:v>Atlas</x:v>
      </x:c>
      <x:c r="W174" s="24" t="str">
        <x:v>6/6 actuelles</x:v>
      </x:c>
      <x:c r="X174" s="24" t="str">
        <x:v>6/6 actuelles</x:v>
      </x:c>
      <x:c r="Y174" s="24" t="str">
        <x:v>Non consignée</x:v>
      </x:c>
      <x:c r="Z174" s="24" t="str">
        <x:v>Périmée (0/6)</x:v>
      </x:c>
      <x:c r="AA174" s="23" t="str">
        <x:v>QA actuelle. Accord non consigné ou périmé. Publication non consignée ou périmée.</x:v>
      </x:c>
      <x:c r="AB174" s="21" t="str">
        <x:v>b17117db72da867328bfee7e7b5ac7c17acc0aab</x:v>
      </x:c>
      <x:c r="AC174" s="21" t="str">
        <x:v>En cours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Lot 12</x:v>
      </x:c>
      <x:c r="E175" s="25" t="str">
        <x:v>Nature</x:v>
      </x:c>
      <x:c r="F175" s="24" t="str">
        <x:f>IF(AND(G175=8,COUNTIF(Q175:V175,"Atlas")=6),"Intégré","À faire")</x:f>
        <x:v>Intégré</x:v>
      </x:c>
      <x:c r="G175" s="27" t="n">
        <x:f>COUNTIF(I175:P175,"Présent")</x:f>
        <x:v>8</x:v>
      </x:c>
      <x:c r="H175" s="24" t="str">
        <x:v>Archivé Drive</x:v>
      </x:c>
      <x:c r="I175" s="24" t="str">
        <x:v>Présent</x:v>
      </x:c>
      <x:c r="J175" s="24" t="str">
        <x:v>Présent</x:v>
      </x:c>
      <x:c r="K175" s="24" t="str">
        <x:v>Présent</x:v>
      </x:c>
      <x:c r="L175" s="24" t="str">
        <x:v>Présent</x:v>
      </x:c>
      <x:c r="M175" s="24" t="str">
        <x:v>Présent</x:v>
      </x:c>
      <x:c r="N175" s="24" t="str">
        <x:v>Présent</x:v>
      </x:c>
      <x:c r="O175" s="24" t="str">
        <x:v>Présent</x:v>
      </x:c>
      <x:c r="P175" s="24" t="str">
        <x:v>Présent</x:v>
      </x:c>
      <x:c r="Q175" s="24" t="str">
        <x:v>Atlas</x:v>
      </x:c>
      <x:c r="R175" s="24" t="str">
        <x:v>Atlas</x:v>
      </x:c>
      <x:c r="S175" s="24" t="str">
        <x:v>Atlas</x:v>
      </x:c>
      <x:c r="T175" s="24" t="str">
        <x:v>Atlas</x:v>
      </x:c>
      <x:c r="U175" s="24" t="str">
        <x:v>Atlas</x:v>
      </x:c>
      <x:c r="V175" s="24" t="str">
        <x:v>Atlas</x:v>
      </x:c>
      <x:c r="W175" s="24" t="str">
        <x:v>6/6 actuelles</x:v>
      </x:c>
      <x:c r="X175" s="24" t="str">
        <x:v>6/6 actuelles</x:v>
      </x:c>
      <x:c r="Y175" s="24" t="str">
        <x:v>Non consignée</x:v>
      </x:c>
      <x:c r="Z175" s="24" t="str">
        <x:v>Périmée (0/6)</x:v>
      </x:c>
      <x:c r="AA175" s="23" t="str">
        <x:v>QA actuelle. Accord non consigné ou périmé. Publication non consignée ou périmée.</x:v>
      </x:c>
      <x:c r="AB175" s="21" t="str">
        <x:v>b17117db72da867328bfee7e7b5ac7c17acc0aab</x:v>
      </x:c>
      <x:c r="AC175" s="21" t="str">
        <x:v>En cours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Lot 12</x:v>
      </x:c>
      <x:c r="E176" s="25" t="str">
        <x:v>Animaux</x:v>
      </x:c>
      <x:c r="F176" s="24" t="str">
        <x:f>IF(AND(G176=8,COUNTIF(Q176:V176,"Atlas")=6),"Intégré","À faire")</x:f>
        <x:v>Intégré</x:v>
      </x:c>
      <x:c r="G176" s="27" t="n">
        <x:f>COUNTIF(I176:P176,"Présent")</x:f>
        <x:v>8</x:v>
      </x:c>
      <x:c r="H176" s="24" t="str">
        <x:v>Archivé Drive</x:v>
      </x:c>
      <x:c r="I176" s="24" t="str">
        <x:v>Présent</x:v>
      </x:c>
      <x:c r="J176" s="24" t="str">
        <x:v>Présent</x:v>
      </x:c>
      <x:c r="K176" s="24" t="str">
        <x:v>Présent</x:v>
      </x:c>
      <x:c r="L176" s="24" t="str">
        <x:v>Présent</x:v>
      </x:c>
      <x:c r="M176" s="24" t="str">
        <x:v>Présent</x:v>
      </x:c>
      <x:c r="N176" s="24" t="str">
        <x:v>Présent</x:v>
      </x:c>
      <x:c r="O176" s="24" t="str">
        <x:v>Présent</x:v>
      </x:c>
      <x:c r="P176" s="24" t="str">
        <x:v>Présent</x:v>
      </x:c>
      <x:c r="Q176" s="24" t="str">
        <x:v>Atlas</x:v>
      </x:c>
      <x:c r="R176" s="24" t="str">
        <x:v>Atlas</x:v>
      </x:c>
      <x:c r="S176" s="24" t="str">
        <x:v>Atlas</x:v>
      </x:c>
      <x:c r="T176" s="24" t="str">
        <x:v>Atlas</x:v>
      </x:c>
      <x:c r="U176" s="24" t="str">
        <x:v>Atlas</x:v>
      </x:c>
      <x:c r="V176" s="24" t="str">
        <x:v>Atlas</x:v>
      </x:c>
      <x:c r="W176" s="24" t="str">
        <x:v>6/6 actuelles</x:v>
      </x:c>
      <x:c r="X176" s="24" t="str">
        <x:v>6/6 actuelles</x:v>
      </x:c>
      <x:c r="Y176" s="24" t="str">
        <x:v>Non consignée</x:v>
      </x:c>
      <x:c r="Z176" s="24" t="str">
        <x:v>Périmée (0/6)</x:v>
      </x:c>
      <x:c r="AA176" s="23" t="str">
        <x:v>QA actuelle. Accord non consigné ou périmé. Publication non consignée ou périmée.</x:v>
      </x:c>
      <x:c r="AB176" s="21" t="str">
        <x:v>b17117db72da867328bfee7e7b5ac7c17acc0aab</x:v>
      </x:c>
      <x:c r="AC176" s="21" t="str">
        <x:v>En cours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Lot 11</x:v>
      </x:c>
      <x:c r="E177" s="25" t="str">
        <x:v>Objets</x:v>
      </x:c>
      <x:c r="F177" s="24" t="str">
        <x:f>IF(AND(G177=8,COUNTIF(Q177:V177,"Atlas")=6),"Intégré","À faire")</x:f>
        <x:v>Intégré</x:v>
      </x:c>
      <x:c r="G177" s="27" t="n">
        <x:f>COUNTIF(I177:P177,"Présent")</x:f>
        <x:v>8</x:v>
      </x:c>
      <x:c r="H177" s="24" t="str">
        <x:v>Archivé Drive</x:v>
      </x:c>
      <x:c r="I177" s="24" t="str">
        <x:v>Présent</x:v>
      </x:c>
      <x:c r="J177" s="24" t="str">
        <x:v>Présent</x:v>
      </x:c>
      <x:c r="K177" s="24" t="str">
        <x:v>Présent</x:v>
      </x:c>
      <x:c r="L177" s="24" t="str">
        <x:v>Présent</x:v>
      </x:c>
      <x:c r="M177" s="24" t="str">
        <x:v>Présent</x:v>
      </x:c>
      <x:c r="N177" s="24" t="str">
        <x:v>Présent</x:v>
      </x:c>
      <x:c r="O177" s="24" t="str">
        <x:v>Présent</x:v>
      </x:c>
      <x:c r="P177" s="24" t="str">
        <x:v>Présent</x:v>
      </x:c>
      <x:c r="Q177" s="24" t="str">
        <x:v>Atlas</x:v>
      </x:c>
      <x:c r="R177" s="24" t="str">
        <x:v>Atlas</x:v>
      </x:c>
      <x:c r="S177" s="24" t="str">
        <x:v>Atlas</x:v>
      </x:c>
      <x:c r="T177" s="24" t="str">
        <x:v>Atlas</x:v>
      </x:c>
      <x:c r="U177" s="24" t="str">
        <x:v>Atlas</x:v>
      </x:c>
      <x:c r="V177" s="24" t="str">
        <x:v>Atlas</x:v>
      </x:c>
      <x:c r="W177" s="24" t="str">
        <x:v>6/6 actuelles</x:v>
      </x:c>
      <x:c r="X177" s="24" t="str">
        <x:v>6/6 actuelles</x:v>
      </x:c>
      <x:c r="Y177" s="24" t="str">
        <x:v>Non consignée</x:v>
      </x:c>
      <x:c r="Z177" s="24" t="str">
        <x:v>Périmée (0/6)</x:v>
      </x:c>
      <x:c r="AA177" s="23" t="str">
        <x:v>QA actuelle. Accord non consigné ou périmé. Publication non consignée ou périmée.</x:v>
      </x:c>
      <x:c r="AB177" s="21" t="str">
        <x:v>34209f968444db816f75779cd5b876df002ae9d3</x:v>
      </x:c>
      <x:c r="AC177" s="21" t="str">
        <x:v>En cours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Lot 13</x:v>
      </x:c>
      <x:c r="E178" s="25" t="str">
        <x:v>Animaux</x:v>
      </x:c>
      <x:c r="F178" s="24" t="str">
        <x:f>IF(AND(G178=8,COUNTIF(Q178:V178,"Atlas")=6),"Intégré","À faire")</x:f>
        <x:v>Intégré</x:v>
      </x:c>
      <x:c r="G178" s="27" t="n">
        <x:f>COUNTIF(I178:P178,"Présent")</x:f>
        <x:v>8</x:v>
      </x:c>
      <x:c r="H178" s="24" t="str">
        <x:v>Archivé Drive</x:v>
      </x:c>
      <x:c r="I178" s="24" t="str">
        <x:v>Présent</x:v>
      </x:c>
      <x:c r="J178" s="24" t="str">
        <x:v>Présent</x:v>
      </x:c>
      <x:c r="K178" s="24" t="str">
        <x:v>Présent</x:v>
      </x:c>
      <x:c r="L178" s="24" t="str">
        <x:v>Présent</x:v>
      </x:c>
      <x:c r="M178" s="24" t="str">
        <x:v>Présent</x:v>
      </x:c>
      <x:c r="N178" s="24" t="str">
        <x:v>Présent</x:v>
      </x:c>
      <x:c r="O178" s="24" t="str">
        <x:v>Présent</x:v>
      </x:c>
      <x:c r="P178" s="24" t="str">
        <x:v>Présent</x:v>
      </x:c>
      <x:c r="Q178" s="24" t="str">
        <x:v>Atlas</x:v>
      </x:c>
      <x:c r="R178" s="24" t="str">
        <x:v>Atlas</x:v>
      </x:c>
      <x:c r="S178" s="24" t="str">
        <x:v>Atlas</x:v>
      </x:c>
      <x:c r="T178" s="24" t="str">
        <x:v>Atlas</x:v>
      </x:c>
      <x:c r="U178" s="24" t="str">
        <x:v>Atlas</x:v>
      </x:c>
      <x:c r="V178" s="24" t="str">
        <x:v>Atlas</x:v>
      </x:c>
      <x:c r="W178" s="24" t="str">
        <x:v>6/6 actuelles</x:v>
      </x:c>
      <x:c r="X178" s="24" t="str">
        <x:v>6/6 actuelles</x:v>
      </x:c>
      <x:c r="Y178" s="24" t="str">
        <x:v>Non consignée</x:v>
      </x:c>
      <x:c r="Z178" s="24" t="str">
        <x:v>Périmée (0/6)</x:v>
      </x:c>
      <x:c r="AA178" s="23" t="str">
        <x:v>QA actuelle. Accord non consigné ou périmé. Publication non consignée ou périmée.</x:v>
      </x:c>
      <x:c r="AB178" s="21" t="str">
        <x:v>e03821783020a61aeaaa58d22886e2118781efaa</x:v>
      </x:c>
      <x:c r="AC178" s="21" t="str">
        <x:v>En cours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QA actuelle. Accord non consigné ou périmé. Publication non consignée ou périmée.</x:v>
      </x:c>
      <x:c r="AB179" s="21" t="str">
        <x:v>34209f968444db816f75779cd5b876df002ae9d3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QA actuelle. Accord non consigné ou périmé. Publication non consignée ou périmée.</x:v>
      </x:c>
      <x:c r="AB180" s="21" t="str">
        <x:v>34209f968444db816f75779cd5b876df002ae9d3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Lot 11</x:v>
      </x:c>
      <x:c r="E181" s="25" t="str">
        <x:v>Corps</x:v>
      </x:c>
      <x:c r="F181" s="24" t="str">
        <x:f>IF(AND(G181=8,COUNTIF(Q181:V181,"Atlas")=6),"Intégré","À faire")</x:f>
        <x:v>Intégré</x:v>
      </x:c>
      <x:c r="G181" s="27" t="n">
        <x:f>COUNTIF(I181:P181,"Présent")</x:f>
        <x:v>8</x:v>
      </x:c>
      <x:c r="H181" s="24" t="str">
        <x:v>Archivé Drive</x:v>
      </x:c>
      <x:c r="I181" s="24" t="str">
        <x:v>Présent</x:v>
      </x:c>
      <x:c r="J181" s="24" t="str">
        <x:v>Présent</x:v>
      </x:c>
      <x:c r="K181" s="24" t="str">
        <x:v>Présent</x:v>
      </x:c>
      <x:c r="L181" s="24" t="str">
        <x:v>Présent</x:v>
      </x:c>
      <x:c r="M181" s="24" t="str">
        <x:v>Présent</x:v>
      </x:c>
      <x:c r="N181" s="24" t="str">
        <x:v>Présent</x:v>
      </x:c>
      <x:c r="O181" s="24" t="str">
        <x:v>Présent</x:v>
      </x:c>
      <x:c r="P181" s="24" t="str">
        <x:v>Présent</x:v>
      </x:c>
      <x:c r="Q181" s="24" t="str">
        <x:v>Atlas</x:v>
      </x:c>
      <x:c r="R181" s="24" t="str">
        <x:v>Atlas</x:v>
      </x:c>
      <x:c r="S181" s="24" t="str">
        <x:v>Atlas</x:v>
      </x:c>
      <x:c r="T181" s="24" t="str">
        <x:v>Atlas</x:v>
      </x:c>
      <x:c r="U181" s="24" t="str">
        <x:v>Atlas</x:v>
      </x:c>
      <x:c r="V181" s="24" t="str">
        <x:v>Atlas</x:v>
      </x:c>
      <x:c r="W181" s="24" t="str">
        <x:v>6/6 actuelles</x:v>
      </x:c>
      <x:c r="X181" s="24" t="str">
        <x:v>6/6 actuelles</x:v>
      </x:c>
      <x:c r="Y181" s="24" t="str">
        <x:v>Non consignée</x:v>
      </x:c>
      <x:c r="Z181" s="24" t="str">
        <x:v>Périmée (0/6)</x:v>
      </x:c>
      <x:c r="AA181" s="23" t="str">
        <x:v>QA actuelle. Accord non consigné ou périmé. Publication non consignée ou périmée.</x:v>
      </x:c>
      <x:c r="AB181" s="21" t="str">
        <x:v>34209f968444db816f75779cd5b876df002ae9d3</x:v>
      </x:c>
      <x:c r="AC181" s="21" t="str">
        <x:v>En cours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Lot 11</x:v>
      </x:c>
      <x:c r="E182" s="25" t="str">
        <x:v>Corps</x:v>
      </x:c>
      <x:c r="F182" s="24" t="str">
        <x:f>IF(AND(G182=8,COUNTIF(Q182:V182,"Atlas")=6),"Intégré","À faire")</x:f>
        <x:v>Intégré</x:v>
      </x:c>
      <x:c r="G182" s="27" t="n">
        <x:f>COUNTIF(I182:P182,"Présent")</x:f>
        <x:v>8</x:v>
      </x:c>
      <x:c r="H182" s="24" t="str">
        <x:v>Archivé Drive</x:v>
      </x:c>
      <x:c r="I182" s="24" t="str">
        <x:v>Présent</x:v>
      </x:c>
      <x:c r="J182" s="24" t="str">
        <x:v>Présent</x:v>
      </x:c>
      <x:c r="K182" s="24" t="str">
        <x:v>Présent</x:v>
      </x:c>
      <x:c r="L182" s="24" t="str">
        <x:v>Présent</x:v>
      </x:c>
      <x:c r="M182" s="24" t="str">
        <x:v>Présent</x:v>
      </x:c>
      <x:c r="N182" s="24" t="str">
        <x:v>Présent</x:v>
      </x:c>
      <x:c r="O182" s="24" t="str">
        <x:v>Présent</x:v>
      </x:c>
      <x:c r="P182" s="24" t="str">
        <x:v>Présent</x:v>
      </x:c>
      <x:c r="Q182" s="24" t="str">
        <x:v>Atlas</x:v>
      </x:c>
      <x:c r="R182" s="24" t="str">
        <x:v>Atlas</x:v>
      </x:c>
      <x:c r="S182" s="24" t="str">
        <x:v>Atlas</x:v>
      </x:c>
      <x:c r="T182" s="24" t="str">
        <x:v>Atlas</x:v>
      </x:c>
      <x:c r="U182" s="24" t="str">
        <x:v>Atlas</x:v>
      </x:c>
      <x:c r="V182" s="24" t="str">
        <x:v>Atlas</x:v>
      </x:c>
      <x:c r="W182" s="24" t="str">
        <x:v>6/6 actuelles</x:v>
      </x:c>
      <x:c r="X182" s="24" t="str">
        <x:v>6/6 actuelles</x:v>
      </x:c>
      <x:c r="Y182" s="24" t="str">
        <x:v>Non consignée</x:v>
      </x:c>
      <x:c r="Z182" s="24" t="str">
        <x:v>Périmée (0/6)</x:v>
      </x:c>
      <x:c r="AA182" s="23" t="str">
        <x:v>QA actuelle. Accord non consigné ou périmé. Publication non consignée ou périmée.</x:v>
      </x:c>
      <x:c r="AB182" s="21" t="str">
        <x:v>34209f968444db816f75779cd5b876df002ae9d3</x:v>
      </x:c>
      <x:c r="AC182" s="21" t="str">
        <x:v>En cours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Lot 13</x:v>
      </x:c>
      <x:c r="E183" s="25" t="str">
        <x:v>Actions</x:v>
      </x:c>
      <x:c r="F183" s="24" t="str">
        <x:f>IF(AND(G183=8,COUNTIF(Q183:V183,"Atlas")=6),"Intégré","À faire")</x:f>
        <x:v>Intégré</x:v>
      </x:c>
      <x:c r="G183" s="27" t="n">
        <x:f>COUNTIF(I183:P183,"Présent")</x:f>
        <x:v>8</x:v>
      </x:c>
      <x:c r="H183" s="24" t="str">
        <x:v>Archivé Drive</x:v>
      </x:c>
      <x:c r="I183" s="24" t="str">
        <x:v>Présent</x:v>
      </x:c>
      <x:c r="J183" s="24" t="str">
        <x:v>Présent</x:v>
      </x:c>
      <x:c r="K183" s="24" t="str">
        <x:v>Présent</x:v>
      </x:c>
      <x:c r="L183" s="24" t="str">
        <x:v>Présent</x:v>
      </x:c>
      <x:c r="M183" s="24" t="str">
        <x:v>Présent</x:v>
      </x:c>
      <x:c r="N183" s="24" t="str">
        <x:v>Présent</x:v>
      </x:c>
      <x:c r="O183" s="24" t="str">
        <x:v>Présent</x:v>
      </x:c>
      <x:c r="P183" s="24" t="str">
        <x:v>Présent</x:v>
      </x:c>
      <x:c r="Q183" s="24" t="str">
        <x:v>Atlas</x:v>
      </x:c>
      <x:c r="R183" s="24" t="str">
        <x:v>Atlas</x:v>
      </x:c>
      <x:c r="S183" s="24" t="str">
        <x:v>Atlas</x:v>
      </x:c>
      <x:c r="T183" s="24" t="str">
        <x:v>Atlas</x:v>
      </x:c>
      <x:c r="U183" s="24" t="str">
        <x:v>Atlas</x:v>
      </x:c>
      <x:c r="V183" s="24" t="str">
        <x:v>Atlas</x:v>
      </x:c>
      <x:c r="W183" s="24" t="str">
        <x:v>6/6 actuelles</x:v>
      </x:c>
      <x:c r="X183" s="24" t="str">
        <x:v>6/6 actuelles</x:v>
      </x:c>
      <x:c r="Y183" s="24" t="str">
        <x:v>Non consignée</x:v>
      </x:c>
      <x:c r="Z183" s="24" t="str">
        <x:v>Périmée (0/6)</x:v>
      </x:c>
      <x:c r="AA183" s="23" t="str">
        <x:v>QA actuelle. Accord non consigné ou périmé. Publication non consignée ou périmée.</x:v>
      </x:c>
      <x:c r="AB183" s="21" t="str">
        <x:v>e03821783020a61aeaaa58d22886e2118781efaa</x:v>
      </x:c>
      <x:c r="AC183" s="21" t="str">
        <x:v>En cours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QA actuelle. Accord non consigné ou périmé. Publication non consignée ou périmée.</x:v>
      </x:c>
      <x:c r="AB184" s="21" t="str">
        <x:v>34209f968444db816f75779cd5b876df002ae9d3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Lot 12 (master)</x:v>
      </x:c>
      <x:c r="E185" s="25" t="str">
        <x:v>Objets</x:v>
      </x:c>
      <x:c r="F185" s="24" t="str">
        <x:f>IF(AND(G185=8,COUNTIF(Q185:V185,"Atlas")=6),"Intégré","À faire")</x:f>
        <x:v>Intégré</x:v>
      </x:c>
      <x:c r="G185" s="27" t="n">
        <x:f>COUNTIF(I185:P185,"Présent")</x:f>
        <x:v>8</x:v>
      </x:c>
      <x:c r="H185" s="24" t="str">
        <x:v>Réutilisé master #509</x:v>
      </x:c>
      <x:c r="I185" s="24" t="str">
        <x:v>Présent</x:v>
      </x:c>
      <x:c r="J185" s="24" t="str">
        <x:v>Présent</x:v>
      </x:c>
      <x:c r="K185" s="24" t="str">
        <x:v>Présent</x:v>
      </x:c>
      <x:c r="L185" s="24" t="str">
        <x:v>Présent</x:v>
      </x:c>
      <x:c r="M185" s="24" t="str">
        <x:v>Présent</x:v>
      </x:c>
      <x:c r="N185" s="24" t="str">
        <x:v>Présent</x:v>
      </x:c>
      <x:c r="O185" s="24" t="str">
        <x:v>Présent</x:v>
      </x:c>
      <x:c r="P185" s="24" t="str">
        <x:v>Présent</x:v>
      </x:c>
      <x:c r="Q185" s="24" t="str">
        <x:v>Atlas</x:v>
      </x:c>
      <x:c r="R185" s="24" t="str">
        <x:v>Atlas</x:v>
      </x:c>
      <x:c r="S185" s="24" t="str">
        <x:v>Atlas</x:v>
      </x:c>
      <x:c r="T185" s="24" t="str">
        <x:v>Atlas</x:v>
      </x:c>
      <x:c r="U185" s="24" t="str">
        <x:v>Atlas</x:v>
      </x:c>
      <x:c r="V185" s="24" t="str">
        <x:v>Atlas</x:v>
      </x:c>
      <x:c r="W185" s="24" t="str">
        <x:v>6/6 actuelles</x:v>
      </x:c>
      <x:c r="X185" s="24" t="str">
        <x:v>6/6 actuelles</x:v>
      </x:c>
      <x:c r="Y185" s="24" t="str">
        <x:v>Non consignée</x:v>
      </x:c>
      <x:c r="Z185" s="24" t="str">
        <x:v>Périmée (0/6)</x:v>
      </x:c>
      <x:c r="AA185" s="23" t="str">
        <x:v>QA actuelle. Accord non consigné ou périmé. Publication non consignée ou périmée.</x:v>
      </x:c>
      <x:c r="AB185" s="21" t="str">
        <x:v>34209f968444db816f75779cd5b876df002ae9d3</x:v>
      </x:c>
      <x:c r="AC185" s="21" t="str">
        <x:v>En cours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QA actuelle. Accord non consigné ou périmé. Publication non consignée ou périmée.</x:v>
      </x:c>
      <x:c r="AB186" s="21" t="str">
        <x:v>34209f968444db816f75779cd5b876df002ae9d3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QA actuelle. Accord non consigné ou périmé. Publication non consignée ou périmée.</x:v>
      </x:c>
      <x:c r="AB187" s="21" t="str">
        <x:v>34209f968444db816f75779cd5b876df002ae9d3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Lot 11</x:v>
      </x:c>
      <x:c r="E188" s="25" t="str">
        <x:v>Personnes</x:v>
      </x:c>
      <x:c r="F188" s="24" t="str">
        <x:f>IF(AND(G188=8,COUNTIF(Q188:V188,"Atlas")=6),"Intégré","À faire")</x:f>
        <x:v>Intégré</x:v>
      </x:c>
      <x:c r="G188" s="27" t="n">
        <x:f>COUNTIF(I188:P188,"Présent")</x:f>
        <x:v>8</x:v>
      </x:c>
      <x:c r="H188" s="24" t="str">
        <x:v>Archivé Drive</x:v>
      </x:c>
      <x:c r="I188" s="24" t="str">
        <x:v>Présent</x:v>
      </x:c>
      <x:c r="J188" s="24" t="str">
        <x:v>Présent</x:v>
      </x:c>
      <x:c r="K188" s="24" t="str">
        <x:v>Présent</x:v>
      </x:c>
      <x:c r="L188" s="24" t="str">
        <x:v>Présent</x:v>
      </x:c>
      <x:c r="M188" s="24" t="str">
        <x:v>Présent</x:v>
      </x:c>
      <x:c r="N188" s="24" t="str">
        <x:v>Présent</x:v>
      </x:c>
      <x:c r="O188" s="24" t="str">
        <x:v>Présent</x:v>
      </x:c>
      <x:c r="P188" s="24" t="str">
        <x:v>Présent</x:v>
      </x:c>
      <x:c r="Q188" s="24" t="str">
        <x:v>Atlas</x:v>
      </x:c>
      <x:c r="R188" s="24" t="str">
        <x:v>Atlas</x:v>
      </x:c>
      <x:c r="S188" s="24" t="str">
        <x:v>Atlas</x:v>
      </x:c>
      <x:c r="T188" s="24" t="str">
        <x:v>Atlas</x:v>
      </x:c>
      <x:c r="U188" s="24" t="str">
        <x:v>Atlas</x:v>
      </x:c>
      <x:c r="V188" s="24" t="str">
        <x:v>Atlas</x:v>
      </x:c>
      <x:c r="W188" s="24" t="str">
        <x:v>6/6 actuelles</x:v>
      </x:c>
      <x:c r="X188" s="24" t="str">
        <x:v>6/6 actuelles</x:v>
      </x:c>
      <x:c r="Y188" s="24" t="str">
        <x:v>Non consignée</x:v>
      </x:c>
      <x:c r="Z188" s="24" t="str">
        <x:v>Périmée (0/6)</x:v>
      </x:c>
      <x:c r="AA188" s="23" t="str">
        <x:v>QA actuelle. Accord non consigné ou périmé. Publication non consignée ou périmée.</x:v>
      </x:c>
      <x:c r="AB188" s="21" t="str">
        <x:v>34209f968444db816f75779cd5b876df002ae9d3</x:v>
      </x:c>
      <x:c r="AC188" s="21" t="str">
        <x:v>En cours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Lot 11</x:v>
      </x:c>
      <x:c r="E189" s="25" t="str">
        <x:v>Objets</x:v>
      </x:c>
      <x:c r="F189" s="24" t="str">
        <x:f>IF(AND(G189=8,COUNTIF(Q189:V189,"Atlas")=6),"Intégré","À faire")</x:f>
        <x:v>Intégré</x:v>
      </x:c>
      <x:c r="G189" s="27" t="n">
        <x:f>COUNTIF(I189:P189,"Présent")</x:f>
        <x:v>8</x:v>
      </x:c>
      <x:c r="H189" s="24" t="str">
        <x:v>Archivé Drive</x:v>
      </x:c>
      <x:c r="I189" s="24" t="str">
        <x:v>Présent</x:v>
      </x:c>
      <x:c r="J189" s="24" t="str">
        <x:v>Présent</x:v>
      </x:c>
      <x:c r="K189" s="24" t="str">
        <x:v>Présent</x:v>
      </x:c>
      <x:c r="L189" s="24" t="str">
        <x:v>Présent</x:v>
      </x:c>
      <x:c r="M189" s="24" t="str">
        <x:v>Présent</x:v>
      </x:c>
      <x:c r="N189" s="24" t="str">
        <x:v>Présent</x:v>
      </x:c>
      <x:c r="O189" s="24" t="str">
        <x:v>Présent</x:v>
      </x:c>
      <x:c r="P189" s="24" t="str">
        <x:v>Présent</x:v>
      </x:c>
      <x:c r="Q189" s="24" t="str">
        <x:v>Atlas</x:v>
      </x:c>
      <x:c r="R189" s="24" t="str">
        <x:v>Atlas</x:v>
      </x:c>
      <x:c r="S189" s="24" t="str">
        <x:v>Atlas</x:v>
      </x:c>
      <x:c r="T189" s="24" t="str">
        <x:v>Atlas</x:v>
      </x:c>
      <x:c r="U189" s="24" t="str">
        <x:v>Atlas</x:v>
      </x:c>
      <x:c r="V189" s="24" t="str">
        <x:v>Atlas</x:v>
      </x:c>
      <x:c r="W189" s="24" t="str">
        <x:v>6/6 actuelles</x:v>
      </x:c>
      <x:c r="X189" s="24" t="str">
        <x:v>6/6 actuelles</x:v>
      </x:c>
      <x:c r="Y189" s="24" t="str">
        <x:v>Non consignée</x:v>
      </x:c>
      <x:c r="Z189" s="24" t="str">
        <x:v>Périmée (0/6)</x:v>
      </x:c>
      <x:c r="AA189" s="23" t="str">
        <x:v>QA actuelle. Accord non consigné ou périmé. Publication non consignée ou périmée.</x:v>
      </x:c>
      <x:c r="AB189" s="21" t="str">
        <x:v>34209f968444db816f75779cd5b876df002ae9d3</x:v>
      </x:c>
      <x:c r="AC189" s="21" t="str">
        <x:v>En cours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QA actuelle. Accord non consigné ou périmé. Publication non consignée ou périmée.</x:v>
      </x:c>
      <x:c r="AB190" s="21" t="str">
        <x:v>34209f968444db816f75779cd5b876df002ae9d3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QA actuelle. Accord non consigné ou périmé. Publication non consignée ou périmée.</x:v>
      </x:c>
      <x:c r="AB191" s="21" t="str">
        <x:v>34209f968444db816f75779cd5b876df002ae9d3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QA actuelle. Accord non consigné ou périmé. Publication non consignée ou périmée.</x:v>
      </x:c>
      <x:c r="AB192" s="21" t="str">
        <x:v>34209f968444db816f75779cd5b876df002ae9d3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Lot 11</x:v>
      </x:c>
      <x:c r="E193" s="25" t="str">
        <x:v>Actions</x:v>
      </x:c>
      <x:c r="F193" s="24" t="str">
        <x:f>IF(AND(G193=8,COUNTIF(Q193:V193,"Atlas")=6),"Intégré","À faire")</x:f>
        <x:v>Intégré</x:v>
      </x:c>
      <x:c r="G193" s="27" t="n">
        <x:f>COUNTIF(I193:P193,"Présent")</x:f>
        <x:v>8</x:v>
      </x:c>
      <x:c r="H193" s="24" t="str">
        <x:v>Archivé Drive</x:v>
      </x:c>
      <x:c r="I193" s="24" t="str">
        <x:v>Présent</x:v>
      </x:c>
      <x:c r="J193" s="24" t="str">
        <x:v>Présent</x:v>
      </x:c>
      <x:c r="K193" s="24" t="str">
        <x:v>Présent</x:v>
      </x:c>
      <x:c r="L193" s="24" t="str">
        <x:v>Présent</x:v>
      </x:c>
      <x:c r="M193" s="24" t="str">
        <x:v>Présent</x:v>
      </x:c>
      <x:c r="N193" s="24" t="str">
        <x:v>Présent</x:v>
      </x:c>
      <x:c r="O193" s="24" t="str">
        <x:v>Présent</x:v>
      </x:c>
      <x:c r="P193" s="24" t="str">
        <x:v>Présent</x:v>
      </x:c>
      <x:c r="Q193" s="24" t="str">
        <x:v>Atlas</x:v>
      </x:c>
      <x:c r="R193" s="24" t="str">
        <x:v>Atlas</x:v>
      </x:c>
      <x:c r="S193" s="24" t="str">
        <x:v>Atlas</x:v>
      </x:c>
      <x:c r="T193" s="24" t="str">
        <x:v>Atlas</x:v>
      </x:c>
      <x:c r="U193" s="24" t="str">
        <x:v>Atlas</x:v>
      </x:c>
      <x:c r="V193" s="24" t="str">
        <x:v>Atlas</x:v>
      </x:c>
      <x:c r="W193" s="24" t="str">
        <x:v>6/6 actuelles</x:v>
      </x:c>
      <x:c r="X193" s="24" t="str">
        <x:v>6/6 actuelles</x:v>
      </x:c>
      <x:c r="Y193" s="24" t="str">
        <x:v>Non consignée</x:v>
      </x:c>
      <x:c r="Z193" s="24" t="str">
        <x:v>Périmée (0/6)</x:v>
      </x:c>
      <x:c r="AA193" s="23" t="str">
        <x:v>QA actuelle. Accord non consigné ou périmé. Publication non consignée ou périmée.</x:v>
      </x:c>
      <x:c r="AB193" s="21" t="str">
        <x:v>34209f968444db816f75779cd5b876df002ae9d3</x:v>
      </x:c>
      <x:c r="AC193" s="21" t="str">
        <x:v>En cours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QA actuelle. Accord non consigné ou périmé. Publication non consignée ou périmée.</x:v>
      </x:c>
      <x:c r="AB194" s="21" t="str">
        <x:v>34209f968444db816f75779cd5b876df002ae9d3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QA actuelle. Accord non consigné ou périmé. Publication non consignée ou périmée.</x:v>
      </x:c>
      <x:c r="AB195" s="21" t="str">
        <x:v>34209f968444db816f75779cd5b876df002ae9d3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Lot 11</x:v>
      </x:c>
      <x:c r="E196" s="25" t="str">
        <x:v>Personnes</x:v>
      </x:c>
      <x:c r="F196" s="24" t="str">
        <x:f>IF(AND(G196=8,COUNTIF(Q196:V196,"Atlas")=6),"Intégré","À faire")</x:f>
        <x:v>Intégré</x:v>
      </x:c>
      <x:c r="G196" s="27" t="n">
        <x:f>COUNTIF(I196:P196,"Présent")</x:f>
        <x:v>8</x:v>
      </x:c>
      <x:c r="H196" s="24" t="str">
        <x:v>Archivé Drive</x:v>
      </x:c>
      <x:c r="I196" s="24" t="str">
        <x:v>Présent</x:v>
      </x:c>
      <x:c r="J196" s="24" t="str">
        <x:v>Présent</x:v>
      </x:c>
      <x:c r="K196" s="24" t="str">
        <x:v>Présent</x:v>
      </x:c>
      <x:c r="L196" s="24" t="str">
        <x:v>Présent</x:v>
      </x:c>
      <x:c r="M196" s="24" t="str">
        <x:v>Présent</x:v>
      </x:c>
      <x:c r="N196" s="24" t="str">
        <x:v>Présent</x:v>
      </x:c>
      <x:c r="O196" s="24" t="str">
        <x:v>Présent</x:v>
      </x:c>
      <x:c r="P196" s="24" t="str">
        <x:v>Présent</x:v>
      </x:c>
      <x:c r="Q196" s="24" t="str">
        <x:v>Atlas</x:v>
      </x:c>
      <x:c r="R196" s="24" t="str">
        <x:v>Atlas</x:v>
      </x:c>
      <x:c r="S196" s="24" t="str">
        <x:v>Atlas</x:v>
      </x:c>
      <x:c r="T196" s="24" t="str">
        <x:v>Atlas</x:v>
      </x:c>
      <x:c r="U196" s="24" t="str">
        <x:v>Atlas</x:v>
      </x:c>
      <x:c r="V196" s="24" t="str">
        <x:v>Atlas</x:v>
      </x:c>
      <x:c r="W196" s="24" t="str">
        <x:v>6/6 actuelles</x:v>
      </x:c>
      <x:c r="X196" s="24" t="str">
        <x:v>6/6 actuelles</x:v>
      </x:c>
      <x:c r="Y196" s="24" t="str">
        <x:v>Non consignée</x:v>
      </x:c>
      <x:c r="Z196" s="24" t="str">
        <x:v>Périmée (0/6)</x:v>
      </x:c>
      <x:c r="AA196" s="23" t="str">
        <x:v>QA actuelle. Accord non consigné ou périmé. Publication non consignée ou périmée.</x:v>
      </x:c>
      <x:c r="AB196" s="21" t="str">
        <x:v>34209f968444db816f75779cd5b876df002ae9d3</x:v>
      </x:c>
      <x:c r="AC196" s="21" t="str">
        <x:v>En cours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Lot 14</x:v>
      </x:c>
      <x:c r="E197" s="25" t="str">
        <x:v>Objets</x:v>
      </x:c>
      <x:c r="F197" s="24" t="str">
        <x:f>IF(AND(G197=8,COUNTIF(Q197:V197,"Atlas")=6),"Intégré","À faire")</x:f>
        <x:v>Intégré</x:v>
      </x:c>
      <x:c r="G197" s="27" t="n">
        <x:f>COUNTIF(I197:P197,"Présent")</x:f>
        <x:v>8</x:v>
      </x:c>
      <x:c r="H197" s="24" t="str">
        <x:v>Archivé Drive</x:v>
      </x:c>
      <x:c r="I197" s="24" t="str">
        <x:v>Présent</x:v>
      </x:c>
      <x:c r="J197" s="24" t="str">
        <x:v>Présent</x:v>
      </x:c>
      <x:c r="K197" s="24" t="str">
        <x:v>Présent</x:v>
      </x:c>
      <x:c r="L197" s="24" t="str">
        <x:v>Présent</x:v>
      </x:c>
      <x:c r="M197" s="24" t="str">
        <x:v>Présent</x:v>
      </x:c>
      <x:c r="N197" s="24" t="str">
        <x:v>Présent</x:v>
      </x:c>
      <x:c r="O197" s="24" t="str">
        <x:v>Présent</x:v>
      </x:c>
      <x:c r="P197" s="24" t="str">
        <x:v>Présent</x:v>
      </x:c>
      <x:c r="Q197" s="24" t="str">
        <x:v>Atlas</x:v>
      </x:c>
      <x:c r="R197" s="24" t="str">
        <x:v>Atlas</x:v>
      </x:c>
      <x:c r="S197" s="24" t="str">
        <x:v>Atlas</x:v>
      </x:c>
      <x:c r="T197" s="24" t="str">
        <x:v>Atlas</x:v>
      </x:c>
      <x:c r="U197" s="24" t="str">
        <x:v>Atlas</x:v>
      </x:c>
      <x:c r="V197" s="24" t="str">
        <x:v>Atlas</x:v>
      </x:c>
      <x:c r="W197" s="24" t="str">
        <x:v>6/6 actuelles</x:v>
      </x:c>
      <x:c r="X197" s="24" t="str">
        <x:v>6/6 actuelles</x:v>
      </x:c>
      <x:c r="Y197" s="24" t="str">
        <x:v>Non consignée</x:v>
      </x:c>
      <x:c r="Z197" s="24" t="str">
        <x:v>Périmée (0/6)</x:v>
      </x:c>
      <x:c r="AA197" s="23" t="str">
        <x:v>QA actuelle. Accord non consigné ou périmé. Publication non consignée ou périmée.</x:v>
      </x:c>
      <x:c r="AB197" s="21" t="str">
        <x:v>3eadba5f121c1017c032929534d269c330aa5abb</x:v>
      </x:c>
      <x:c r="AC197" s="21" t="str">
        <x:v>En cours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Lot 12</x:v>
      </x:c>
      <x:c r="E198" s="25" t="str">
        <x:v>Animaux</x:v>
      </x:c>
      <x:c r="F198" s="24" t="str">
        <x:f>IF(AND(G198=8,COUNTIF(Q198:V198,"Atlas")=6),"Intégré","À faire")</x:f>
        <x:v>Intégré</x:v>
      </x:c>
      <x:c r="G198" s="27" t="n">
        <x:f>COUNTIF(I198:P198,"Présent")</x:f>
        <x:v>8</x:v>
      </x:c>
      <x:c r="H198" s="24" t="str">
        <x:v>Archivé Drive</x:v>
      </x:c>
      <x:c r="I198" s="24" t="str">
        <x:v>Présent</x:v>
      </x:c>
      <x:c r="J198" s="24" t="str">
        <x:v>Présent</x:v>
      </x:c>
      <x:c r="K198" s="24" t="str">
        <x:v>Présent</x:v>
      </x:c>
      <x:c r="L198" s="24" t="str">
        <x:v>Présent</x:v>
      </x:c>
      <x:c r="M198" s="24" t="str">
        <x:v>Présent</x:v>
      </x:c>
      <x:c r="N198" s="24" t="str">
        <x:v>Présent</x:v>
      </x:c>
      <x:c r="O198" s="24" t="str">
        <x:v>Présent</x:v>
      </x:c>
      <x:c r="P198" s="24" t="str">
        <x:v>Présent</x:v>
      </x:c>
      <x:c r="Q198" s="24" t="str">
        <x:v>Atlas</x:v>
      </x:c>
      <x:c r="R198" s="24" t="str">
        <x:v>Atlas</x:v>
      </x:c>
      <x:c r="S198" s="24" t="str">
        <x:v>Atlas</x:v>
      </x:c>
      <x:c r="T198" s="24" t="str">
        <x:v>Atlas</x:v>
      </x:c>
      <x:c r="U198" s="24" t="str">
        <x:v>Atlas</x:v>
      </x:c>
      <x:c r="V198" s="24" t="str">
        <x:v>Atlas</x:v>
      </x:c>
      <x:c r="W198" s="24" t="str">
        <x:v>6/6 actuelles</x:v>
      </x:c>
      <x:c r="X198" s="24" t="str">
        <x:v>6/6 actuelles</x:v>
      </x:c>
      <x:c r="Y198" s="24" t="str">
        <x:v>Non consignée</x:v>
      </x:c>
      <x:c r="Z198" s="24" t="str">
        <x:v>Périmée (0/6)</x:v>
      </x:c>
      <x:c r="AA198" s="23" t="str">
        <x:v>QA actuelle. Accord non consigné ou périmé. Publication non consignée ou périmée.</x:v>
      </x:c>
      <x:c r="AB198" s="21" t="str">
        <x:v>b17117db72da867328bfee7e7b5ac7c17acc0aab</x:v>
      </x:c>
      <x:c r="AC198" s="21" t="str">
        <x:v>En cours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Lot 11</x:v>
      </x:c>
      <x:c r="E199" s="25" t="str">
        <x:v>Actions</x:v>
      </x:c>
      <x:c r="F199" s="24" t="str">
        <x:f>IF(AND(G199=8,COUNTIF(Q199:V199,"Atlas")=6),"Intégré","À faire")</x:f>
        <x:v>Intégré</x:v>
      </x:c>
      <x:c r="G199" s="27" t="n">
        <x:f>COUNTIF(I199:P199,"Présent")</x:f>
        <x:v>8</x:v>
      </x:c>
      <x:c r="H199" s="24" t="str">
        <x:v>Archivé Drive</x:v>
      </x:c>
      <x:c r="I199" s="24" t="str">
        <x:v>Présent</x:v>
      </x:c>
      <x:c r="J199" s="24" t="str">
        <x:v>Présent</x:v>
      </x:c>
      <x:c r="K199" s="24" t="str">
        <x:v>Présent</x:v>
      </x:c>
      <x:c r="L199" s="24" t="str">
        <x:v>Présent</x:v>
      </x:c>
      <x:c r="M199" s="24" t="str">
        <x:v>Présent</x:v>
      </x:c>
      <x:c r="N199" s="24" t="str">
        <x:v>Présent</x:v>
      </x:c>
      <x:c r="O199" s="24" t="str">
        <x:v>Présent</x:v>
      </x:c>
      <x:c r="P199" s="24" t="str">
        <x:v>Présent</x:v>
      </x:c>
      <x:c r="Q199" s="24" t="str">
        <x:v>Atlas</x:v>
      </x:c>
      <x:c r="R199" s="24" t="str">
        <x:v>Atlas</x:v>
      </x:c>
      <x:c r="S199" s="24" t="str">
        <x:v>Atlas</x:v>
      </x:c>
      <x:c r="T199" s="24" t="str">
        <x:v>Atlas</x:v>
      </x:c>
      <x:c r="U199" s="24" t="str">
        <x:v>Atlas</x:v>
      </x:c>
      <x:c r="V199" s="24" t="str">
        <x:v>Atlas</x:v>
      </x:c>
      <x:c r="W199" s="24" t="str">
        <x:v>6/6 actuelles</x:v>
      </x:c>
      <x:c r="X199" s="24" t="str">
        <x:v>6/6 actuelles</x:v>
      </x:c>
      <x:c r="Y199" s="24" t="str">
        <x:v>Non consignée</x:v>
      </x:c>
      <x:c r="Z199" s="24" t="str">
        <x:v>Périmée (0/6)</x:v>
      </x:c>
      <x:c r="AA199" s="23" t="str">
        <x:v>QA actuelle. Accord non consigné ou périmé. Publication non consignée ou périmée.</x:v>
      </x:c>
      <x:c r="AB199" s="21" t="str">
        <x:v>34209f968444db816f75779cd5b876df002ae9d3</x:v>
      </x:c>
      <x:c r="AC199" s="21" t="str">
        <x:v>En cours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QA actuelle. Accord non consigné ou périmé. Publication non consignée ou périmée.</x:v>
      </x:c>
      <x:c r="AB200" s="21" t="str">
        <x:v>34209f968444db816f75779cd5b876df002ae9d3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Lot 11</x:v>
      </x:c>
      <x:c r="E201" s="25" t="str">
        <x:v>Objets</x:v>
      </x:c>
      <x:c r="F201" s="24" t="str">
        <x:f>IF(AND(G201=8,COUNTIF(Q201:V201,"Atlas")=6),"Intégré","À faire")</x:f>
        <x:v>Intégré</x:v>
      </x:c>
      <x:c r="G201" s="27" t="n">
        <x:f>COUNTIF(I201:P201,"Présent")</x:f>
        <x:v>8</x:v>
      </x:c>
      <x:c r="H201" s="24" t="str">
        <x:v>Archivé Drive</x:v>
      </x:c>
      <x:c r="I201" s="24" t="str">
        <x:v>Présent</x:v>
      </x:c>
      <x:c r="J201" s="24" t="str">
        <x:v>Présent</x:v>
      </x:c>
      <x:c r="K201" s="24" t="str">
        <x:v>Présent</x:v>
      </x:c>
      <x:c r="L201" s="24" t="str">
        <x:v>Présent</x:v>
      </x:c>
      <x:c r="M201" s="24" t="str">
        <x:v>Présent</x:v>
      </x:c>
      <x:c r="N201" s="24" t="str">
        <x:v>Présent</x:v>
      </x:c>
      <x:c r="O201" s="24" t="str">
        <x:v>Présent</x:v>
      </x:c>
      <x:c r="P201" s="24" t="str">
        <x:v>Présent</x:v>
      </x:c>
      <x:c r="Q201" s="24" t="str">
        <x:v>Atlas</x:v>
      </x:c>
      <x:c r="R201" s="24" t="str">
        <x:v>Atlas</x:v>
      </x:c>
      <x:c r="S201" s="24" t="str">
        <x:v>Atlas</x:v>
      </x:c>
      <x:c r="T201" s="24" t="str">
        <x:v>Atlas</x:v>
      </x:c>
      <x:c r="U201" s="24" t="str">
        <x:v>Atlas</x:v>
      </x:c>
      <x:c r="V201" s="24" t="str">
        <x:v>Atlas</x:v>
      </x:c>
      <x:c r="W201" s="24" t="str">
        <x:v>6/6 actuelles</x:v>
      </x:c>
      <x:c r="X201" s="24" t="str">
        <x:v>6/6 actuelles</x:v>
      </x:c>
      <x:c r="Y201" s="24" t="str">
        <x:v>Non consignée</x:v>
      </x:c>
      <x:c r="Z201" s="24" t="str">
        <x:v>Périmée (0/6)</x:v>
      </x:c>
      <x:c r="AA201" s="23" t="str">
        <x:v>QA actuelle. Accord non consigné ou périmé. Publication non consignée ou périmée.</x:v>
      </x:c>
      <x:c r="AB201" s="21" t="str">
        <x:v>34209f968444db816f75779cd5b876df002ae9d3</x:v>
      </x:c>
      <x:c r="AC201" s="21" t="str">
        <x:v>En cours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Lot 13</x:v>
      </x:c>
      <x:c r="E202" s="25" t="str">
        <x:v>Personnes</x:v>
      </x:c>
      <x:c r="F202" s="24" t="str">
        <x:f>IF(AND(G202=8,COUNTIF(Q202:V202,"Atlas")=6),"Intégré","À faire")</x:f>
        <x:v>Intégré</x:v>
      </x:c>
      <x:c r="G202" s="27" t="n">
        <x:f>COUNTIF(I202:P202,"Présent")</x:f>
        <x:v>8</x:v>
      </x:c>
      <x:c r="H202" s="24" t="str">
        <x:v>Archivé Drive</x:v>
      </x:c>
      <x:c r="I202" s="24" t="str">
        <x:v>Présent</x:v>
      </x:c>
      <x:c r="J202" s="24" t="str">
        <x:v>Présent</x:v>
      </x:c>
      <x:c r="K202" s="24" t="str">
        <x:v>Présent</x:v>
      </x:c>
      <x:c r="L202" s="24" t="str">
        <x:v>Présent</x:v>
      </x:c>
      <x:c r="M202" s="24" t="str">
        <x:v>Présent</x:v>
      </x:c>
      <x:c r="N202" s="24" t="str">
        <x:v>Présent</x:v>
      </x:c>
      <x:c r="O202" s="24" t="str">
        <x:v>Présent</x:v>
      </x:c>
      <x:c r="P202" s="24" t="str">
        <x:v>Présent</x:v>
      </x:c>
      <x:c r="Q202" s="24" t="str">
        <x:v>Atlas</x:v>
      </x:c>
      <x:c r="R202" s="24" t="str">
        <x:v>Atlas</x:v>
      </x:c>
      <x:c r="S202" s="24" t="str">
        <x:v>Atlas</x:v>
      </x:c>
      <x:c r="T202" s="24" t="str">
        <x:v>Atlas</x:v>
      </x:c>
      <x:c r="U202" s="24" t="str">
        <x:v>Atlas</x:v>
      </x:c>
      <x:c r="V202" s="24" t="str">
        <x:v>Atlas</x:v>
      </x:c>
      <x:c r="W202" s="24" t="str">
        <x:v>6/6 actuelles</x:v>
      </x:c>
      <x:c r="X202" s="24" t="str">
        <x:v>6/6 actuelles</x:v>
      </x:c>
      <x:c r="Y202" s="24" t="str">
        <x:v>Non consignée</x:v>
      </x:c>
      <x:c r="Z202" s="24" t="str">
        <x:v>Périmée (0/6)</x:v>
      </x:c>
      <x:c r="AA202" s="23" t="str">
        <x:v>QA actuelle. Accord non consigné ou périmé. Publication non consignée ou périmée.</x:v>
      </x:c>
      <x:c r="AB202" s="21" t="str">
        <x:v>e03821783020a61aeaaa58d22886e2118781efaa</x:v>
      </x:c>
      <x:c r="AC202" s="21" t="str">
        <x:v>En cours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QA actuelle. Accord non consigné ou périmé. Publication non consignée ou périmée.</x:v>
      </x:c>
      <x:c r="AB203" s="21" t="str">
        <x:v>34209f968444db816f75779cd5b876df002ae9d3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Lot 11</x:v>
      </x:c>
      <x:c r="E204" s="25" t="str">
        <x:v>Corps</x:v>
      </x:c>
      <x:c r="F204" s="24" t="str">
        <x:f>IF(AND(G204=8,COUNTIF(Q204:V204,"Atlas")=6),"Intégré","À faire")</x:f>
        <x:v>Intégré</x:v>
      </x:c>
      <x:c r="G204" s="27" t="n">
        <x:f>COUNTIF(I204:P204,"Présent")</x:f>
        <x:v>8</x:v>
      </x:c>
      <x:c r="H204" s="24" t="str">
        <x:v>Archivé Drive</x:v>
      </x:c>
      <x:c r="I204" s="24" t="str">
        <x:v>Présent</x:v>
      </x:c>
      <x:c r="J204" s="24" t="str">
        <x:v>Présent</x:v>
      </x:c>
      <x:c r="K204" s="24" t="str">
        <x:v>Présent</x:v>
      </x:c>
      <x:c r="L204" s="24" t="str">
        <x:v>Présent</x:v>
      </x:c>
      <x:c r="M204" s="24" t="str">
        <x:v>Présent</x:v>
      </x:c>
      <x:c r="N204" s="24" t="str">
        <x:v>Présent</x:v>
      </x:c>
      <x:c r="O204" s="24" t="str">
        <x:v>Présent</x:v>
      </x:c>
      <x:c r="P204" s="24" t="str">
        <x:v>Présent</x:v>
      </x:c>
      <x:c r="Q204" s="24" t="str">
        <x:v>Atlas</x:v>
      </x:c>
      <x:c r="R204" s="24" t="str">
        <x:v>Atlas</x:v>
      </x:c>
      <x:c r="S204" s="24" t="str">
        <x:v>Atlas</x:v>
      </x:c>
      <x:c r="T204" s="24" t="str">
        <x:v>Atlas</x:v>
      </x:c>
      <x:c r="U204" s="24" t="str">
        <x:v>Atlas</x:v>
      </x:c>
      <x:c r="V204" s="24" t="str">
        <x:v>Atlas</x:v>
      </x:c>
      <x:c r="W204" s="24" t="str">
        <x:v>6/6 actuelles</x:v>
      </x:c>
      <x:c r="X204" s="24" t="str">
        <x:v>6/6 actuelles</x:v>
      </x:c>
      <x:c r="Y204" s="24" t="str">
        <x:v>Non consignée</x:v>
      </x:c>
      <x:c r="Z204" s="24" t="str">
        <x:v>Périmée (0/6)</x:v>
      </x:c>
      <x:c r="AA204" s="23" t="str">
        <x:v>QA actuelle. Accord non consigné ou périmé. Publication non consignée ou périmée.</x:v>
      </x:c>
      <x:c r="AB204" s="21" t="str">
        <x:v>34209f968444db816f75779cd5b876df002ae9d3</x:v>
      </x:c>
      <x:c r="AC204" s="21" t="str">
        <x:v>En cours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Lot 11</x:v>
      </x:c>
      <x:c r="E205" s="25" t="str">
        <x:v>Actions</x:v>
      </x:c>
      <x:c r="F205" s="24" t="str">
        <x:f>IF(AND(G205=8,COUNTIF(Q205:V205,"Atlas")=6),"Intégré","À faire")</x:f>
        <x:v>Intégré</x:v>
      </x:c>
      <x:c r="G205" s="27" t="n">
        <x:f>COUNTIF(I205:P205,"Présent")</x:f>
        <x:v>8</x:v>
      </x:c>
      <x:c r="H205" s="24" t="str">
        <x:v>Archivé Drive</x:v>
      </x:c>
      <x:c r="I205" s="24" t="str">
        <x:v>Présent</x:v>
      </x:c>
      <x:c r="J205" s="24" t="str">
        <x:v>Présent</x:v>
      </x:c>
      <x:c r="K205" s="24" t="str">
        <x:v>Présent</x:v>
      </x:c>
      <x:c r="L205" s="24" t="str">
        <x:v>Présent</x:v>
      </x:c>
      <x:c r="M205" s="24" t="str">
        <x:v>Présent</x:v>
      </x:c>
      <x:c r="N205" s="24" t="str">
        <x:v>Présent</x:v>
      </x:c>
      <x:c r="O205" s="24" t="str">
        <x:v>Présent</x:v>
      </x:c>
      <x:c r="P205" s="24" t="str">
        <x:v>Présent</x:v>
      </x:c>
      <x:c r="Q205" s="24" t="str">
        <x:v>Atlas</x:v>
      </x:c>
      <x:c r="R205" s="24" t="str">
        <x:v>Atlas</x:v>
      </x:c>
      <x:c r="S205" s="24" t="str">
        <x:v>Atlas</x:v>
      </x:c>
      <x:c r="T205" s="24" t="str">
        <x:v>Atlas</x:v>
      </x:c>
      <x:c r="U205" s="24" t="str">
        <x:v>Atlas</x:v>
      </x:c>
      <x:c r="V205" s="24" t="str">
        <x:v>Atlas</x:v>
      </x:c>
      <x:c r="W205" s="24" t="str">
        <x:v>6/6 actuelles</x:v>
      </x:c>
      <x:c r="X205" s="24" t="str">
        <x:v>6/6 actuelles</x:v>
      </x:c>
      <x:c r="Y205" s="24" t="str">
        <x:v>Non consignée</x:v>
      </x:c>
      <x:c r="Z205" s="24" t="str">
        <x:v>Périmée (0/6)</x:v>
      </x:c>
      <x:c r="AA205" s="23" t="str">
        <x:v>QA actuelle. Accord non consigné ou périmé. Publication non consignée ou périmée.</x:v>
      </x:c>
      <x:c r="AB205" s="21" t="str">
        <x:v>34209f968444db816f75779cd5b876df002ae9d3</x:v>
      </x:c>
      <x:c r="AC205" s="21" t="str">
        <x:v>En cours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Lot 13</x:v>
      </x:c>
      <x:c r="E206" s="25" t="str">
        <x:v>Lieux</x:v>
      </x:c>
      <x:c r="F206" s="24" t="str">
        <x:f>IF(AND(G206=8,COUNTIF(Q206:V206,"Atlas")=6),"Intégré","À faire")</x:f>
        <x:v>Intégré</x:v>
      </x:c>
      <x:c r="G206" s="27" t="n">
        <x:f>COUNTIF(I206:P206,"Présent")</x:f>
        <x:v>8</x:v>
      </x:c>
      <x:c r="H206" s="24" t="str">
        <x:v>Archivé Drive</x:v>
      </x:c>
      <x:c r="I206" s="24" t="str">
        <x:v>Présent</x:v>
      </x:c>
      <x:c r="J206" s="24" t="str">
        <x:v>Présent</x:v>
      </x:c>
      <x:c r="K206" s="24" t="str">
        <x:v>Présent</x:v>
      </x:c>
      <x:c r="L206" s="24" t="str">
        <x:v>Présent</x:v>
      </x:c>
      <x:c r="M206" s="24" t="str">
        <x:v>Présent</x:v>
      </x:c>
      <x:c r="N206" s="24" t="str">
        <x:v>Présent</x:v>
      </x:c>
      <x:c r="O206" s="24" t="str">
        <x:v>Présent</x:v>
      </x:c>
      <x:c r="P206" s="24" t="str">
        <x:v>Présent</x:v>
      </x:c>
      <x:c r="Q206" s="24" t="str">
        <x:v>Atlas</x:v>
      </x:c>
      <x:c r="R206" s="24" t="str">
        <x:v>Atlas</x:v>
      </x:c>
      <x:c r="S206" s="24" t="str">
        <x:v>Atlas</x:v>
      </x:c>
      <x:c r="T206" s="24" t="str">
        <x:v>Atlas</x:v>
      </x:c>
      <x:c r="U206" s="24" t="str">
        <x:v>Atlas</x:v>
      </x:c>
      <x:c r="V206" s="24" t="str">
        <x:v>Atlas</x:v>
      </x:c>
      <x:c r="W206" s="24" t="str">
        <x:v>6/6 actuelles</x:v>
      </x:c>
      <x:c r="X206" s="24" t="str">
        <x:v>6/6 actuelles</x:v>
      </x:c>
      <x:c r="Y206" s="24" t="str">
        <x:v>Non consignée</x:v>
      </x:c>
      <x:c r="Z206" s="24" t="str">
        <x:v>Périmée (0/6)</x:v>
      </x:c>
      <x:c r="AA206" s="23" t="str">
        <x:v>QA actuelle. Accord non consigné ou périmé. Publication non consignée ou périmée.</x:v>
      </x:c>
      <x:c r="AB206" s="21" t="str">
        <x:v>e03821783020a61aeaaa58d22886e2118781efaa</x:v>
      </x:c>
      <x:c r="AC206" s="21" t="str">
        <x:v>En cours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Lot 13</x:v>
      </x:c>
      <x:c r="E207" s="25" t="str">
        <x:v>Lieux</x:v>
      </x:c>
      <x:c r="F207" s="24" t="str">
        <x:f>IF(AND(G207=8,COUNTIF(Q207:V207,"Atlas")=6),"Intégré","À faire")</x:f>
        <x:v>Intégré</x:v>
      </x:c>
      <x:c r="G207" s="27" t="n">
        <x:f>COUNTIF(I207:P207,"Présent")</x:f>
        <x:v>8</x:v>
      </x:c>
      <x:c r="H207" s="24" t="str">
        <x:v>Archivé Drive</x:v>
      </x:c>
      <x:c r="I207" s="24" t="str">
        <x:v>Présent</x:v>
      </x:c>
      <x:c r="J207" s="24" t="str">
        <x:v>Présent</x:v>
      </x:c>
      <x:c r="K207" s="24" t="str">
        <x:v>Présent</x:v>
      </x:c>
      <x:c r="L207" s="24" t="str">
        <x:v>Présent</x:v>
      </x:c>
      <x:c r="M207" s="24" t="str">
        <x:v>Présent</x:v>
      </x:c>
      <x:c r="N207" s="24" t="str">
        <x:v>Présent</x:v>
      </x:c>
      <x:c r="O207" s="24" t="str">
        <x:v>Présent</x:v>
      </x:c>
      <x:c r="P207" s="24" t="str">
        <x:v>Présent</x:v>
      </x:c>
      <x:c r="Q207" s="24" t="str">
        <x:v>Atlas</x:v>
      </x:c>
      <x:c r="R207" s="24" t="str">
        <x:v>Atlas</x:v>
      </x:c>
      <x:c r="S207" s="24" t="str">
        <x:v>Atlas</x:v>
      </x:c>
      <x:c r="T207" s="24" t="str">
        <x:v>Atlas</x:v>
      </x:c>
      <x:c r="U207" s="24" t="str">
        <x:v>Atlas</x:v>
      </x:c>
      <x:c r="V207" s="24" t="str">
        <x:v>Atlas</x:v>
      </x:c>
      <x:c r="W207" s="24" t="str">
        <x:v>6/6 actuelles</x:v>
      </x:c>
      <x:c r="X207" s="24" t="str">
        <x:v>6/6 actuelles</x:v>
      </x:c>
      <x:c r="Y207" s="24" t="str">
        <x:v>Non consignée</x:v>
      </x:c>
      <x:c r="Z207" s="24" t="str">
        <x:v>Périmée (0/6)</x:v>
      </x:c>
      <x:c r="AA207" s="23" t="str">
        <x:v>QA actuelle. Accord non consigné ou périmé. Publication non consignée ou périmée.</x:v>
      </x:c>
      <x:c r="AB207" s="21" t="str">
        <x:v>e03821783020a61aeaaa58d22886e2118781efaa</x:v>
      </x:c>
      <x:c r="AC207" s="21" t="str">
        <x:v>En cours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QA actuelle. Accord non consigné ou périmé. Publication non consignée ou périmée.</x:v>
      </x:c>
      <x:c r="AB208" s="21" t="str">
        <x:v>34209f968444db816f75779cd5b876df002ae9d3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Lot 12</x:v>
      </x:c>
      <x:c r="E209" s="25" t="str">
        <x:v>Animaux</x:v>
      </x:c>
      <x:c r="F209" s="24" t="str">
        <x:f>IF(AND(G209=8,COUNTIF(Q209:V209,"Atlas")=6),"Intégré","À faire")</x:f>
        <x:v>Intégré</x:v>
      </x:c>
      <x:c r="G209" s="27" t="n">
        <x:f>COUNTIF(I209:P209,"Présent")</x:f>
        <x:v>8</x:v>
      </x:c>
      <x:c r="H209" s="24" t="str">
        <x:v>Archivé Drive</x:v>
      </x:c>
      <x:c r="I209" s="24" t="str">
        <x:v>Présent</x:v>
      </x:c>
      <x:c r="J209" s="24" t="str">
        <x:v>Présent</x:v>
      </x:c>
      <x:c r="K209" s="24" t="str">
        <x:v>Présent</x:v>
      </x:c>
      <x:c r="L209" s="24" t="str">
        <x:v>Présent</x:v>
      </x:c>
      <x:c r="M209" s="24" t="str">
        <x:v>Présent</x:v>
      </x:c>
      <x:c r="N209" s="24" t="str">
        <x:v>Présent</x:v>
      </x:c>
      <x:c r="O209" s="24" t="str">
        <x:v>Présent</x:v>
      </x:c>
      <x:c r="P209" s="24" t="str">
        <x:v>Présent</x:v>
      </x:c>
      <x:c r="Q209" s="24" t="str">
        <x:v>Atlas</x:v>
      </x:c>
      <x:c r="R209" s="24" t="str">
        <x:v>Atlas</x:v>
      </x:c>
      <x:c r="S209" s="24" t="str">
        <x:v>Atlas</x:v>
      </x:c>
      <x:c r="T209" s="24" t="str">
        <x:v>Atlas</x:v>
      </x:c>
      <x:c r="U209" s="24" t="str">
        <x:v>Atlas</x:v>
      </x:c>
      <x:c r="V209" s="24" t="str">
        <x:v>Atlas</x:v>
      </x:c>
      <x:c r="W209" s="24" t="str">
        <x:v>6/6 actuelles</x:v>
      </x:c>
      <x:c r="X209" s="24" t="str">
        <x:v>6/6 actuelles</x:v>
      </x:c>
      <x:c r="Y209" s="24" t="str">
        <x:v>Non consignée</x:v>
      </x:c>
      <x:c r="Z209" s="24" t="str">
        <x:v>Périmée (0/6)</x:v>
      </x:c>
      <x:c r="AA209" s="23" t="str">
        <x:v>QA actuelle. Accord non consigné ou périmé. Publication non consignée ou périmée.</x:v>
      </x:c>
      <x:c r="AB209" s="21" t="str">
        <x:v>b17117db72da867328bfee7e7b5ac7c17acc0aab</x:v>
      </x:c>
      <x:c r="AC209" s="21" t="str">
        <x:v>En cours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QA actuelle. Accord non consigné ou périmé. Publication non consignée ou périmée.</x:v>
      </x:c>
      <x:c r="AB210" s="21" t="str">
        <x:v>34209f968444db816f75779cd5b876df002ae9d3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Lot 14</x:v>
      </x:c>
      <x:c r="E211" s="25" t="str">
        <x:v>Objets</x:v>
      </x:c>
      <x:c r="F211" s="24" t="str">
        <x:f>IF(AND(G211=8,COUNTIF(Q211:V211,"Atlas")=6),"Intégré","À faire")</x:f>
        <x:v>Intégré</x:v>
      </x:c>
      <x:c r="G211" s="27" t="n">
        <x:f>COUNTIF(I211:P211,"Présent")</x:f>
        <x:v>8</x:v>
      </x:c>
      <x:c r="H211" s="24" t="str">
        <x:v>Archivé Drive</x:v>
      </x:c>
      <x:c r="I211" s="24" t="str">
        <x:v>Présent</x:v>
      </x:c>
      <x:c r="J211" s="24" t="str">
        <x:v>Présent</x:v>
      </x:c>
      <x:c r="K211" s="24" t="str">
        <x:v>Présent</x:v>
      </x:c>
      <x:c r="L211" s="24" t="str">
        <x:v>Présent</x:v>
      </x:c>
      <x:c r="M211" s="24" t="str">
        <x:v>Présent</x:v>
      </x:c>
      <x:c r="N211" s="24" t="str">
        <x:v>Présent</x:v>
      </x:c>
      <x:c r="O211" s="24" t="str">
        <x:v>Présent</x:v>
      </x:c>
      <x:c r="P211" s="24" t="str">
        <x:v>Présent</x:v>
      </x:c>
      <x:c r="Q211" s="24" t="str">
        <x:v>Atlas</x:v>
      </x:c>
      <x:c r="R211" s="24" t="str">
        <x:v>Atlas</x:v>
      </x:c>
      <x:c r="S211" s="24" t="str">
        <x:v>Atlas</x:v>
      </x:c>
      <x:c r="T211" s="24" t="str">
        <x:v>Atlas</x:v>
      </x:c>
      <x:c r="U211" s="24" t="str">
        <x:v>Atlas</x:v>
      </x:c>
      <x:c r="V211" s="24" t="str">
        <x:v>Atlas</x:v>
      </x:c>
      <x:c r="W211" s="24" t="str">
        <x:v>6/6 actuelles</x:v>
      </x:c>
      <x:c r="X211" s="24" t="str">
        <x:v>6/6 actuelles</x:v>
      </x:c>
      <x:c r="Y211" s="24" t="str">
        <x:v>Non consignée</x:v>
      </x:c>
      <x:c r="Z211" s="24" t="str">
        <x:v>Périmée (0/6)</x:v>
      </x:c>
      <x:c r="AA211" s="23" t="str">
        <x:v>QA actuelle. Accord non consigné ou périmé. Publication non consignée ou périmée.</x:v>
      </x:c>
      <x:c r="AB211" s="21" t="str">
        <x:v>3eadba5f121c1017c032929534d269c330aa5abb</x:v>
      </x:c>
      <x:c r="AC211" s="21" t="str">
        <x:v>En cours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Lot 14</x:v>
      </x:c>
      <x:c r="E212" s="25" t="str">
        <x:v>Objets</x:v>
      </x:c>
      <x:c r="F212" s="24" t="str">
        <x:f>IF(AND(G212=8,COUNTIF(Q212:V212,"Atlas")=6),"Intégré","À faire")</x:f>
        <x:v>Intégré</x:v>
      </x:c>
      <x:c r="G212" s="27" t="n">
        <x:f>COUNTIF(I212:P212,"Présent")</x:f>
        <x:v>8</x:v>
      </x:c>
      <x:c r="H212" s="24" t="str">
        <x:v>Archivé Drive</x:v>
      </x:c>
      <x:c r="I212" s="24" t="str">
        <x:v>Présent</x:v>
      </x:c>
      <x:c r="J212" s="24" t="str">
        <x:v>Présent</x:v>
      </x:c>
      <x:c r="K212" s="24" t="str">
        <x:v>Présent</x:v>
      </x:c>
      <x:c r="L212" s="24" t="str">
        <x:v>Présent</x:v>
      </x:c>
      <x:c r="M212" s="24" t="str">
        <x:v>Présent</x:v>
      </x:c>
      <x:c r="N212" s="24" t="str">
        <x:v>Présent</x:v>
      </x:c>
      <x:c r="O212" s="24" t="str">
        <x:v>Présent</x:v>
      </x:c>
      <x:c r="P212" s="24" t="str">
        <x:v>Présent</x:v>
      </x:c>
      <x:c r="Q212" s="24" t="str">
        <x:v>Atlas</x:v>
      </x:c>
      <x:c r="R212" s="24" t="str">
        <x:v>Atlas</x:v>
      </x:c>
      <x:c r="S212" s="24" t="str">
        <x:v>Atlas</x:v>
      </x:c>
      <x:c r="T212" s="24" t="str">
        <x:v>Atlas</x:v>
      </x:c>
      <x:c r="U212" s="24" t="str">
        <x:v>Atlas</x:v>
      </x:c>
      <x:c r="V212" s="24" t="str">
        <x:v>Atlas</x:v>
      </x:c>
      <x:c r="W212" s="24" t="str">
        <x:v>6/6 actuelles</x:v>
      </x:c>
      <x:c r="X212" s="24" t="str">
        <x:v>6/6 actuelles</x:v>
      </x:c>
      <x:c r="Y212" s="24" t="str">
        <x:v>Non consignée</x:v>
      </x:c>
      <x:c r="Z212" s="24" t="str">
        <x:v>Périmée (0/6)</x:v>
      </x:c>
      <x:c r="AA212" s="23" t="str">
        <x:v>QA actuelle. Accord non consigné ou périmé. Publication non consignée ou périmée.</x:v>
      </x:c>
      <x:c r="AB212" s="21" t="str">
        <x:v>3eadba5f121c1017c032929534d269c330aa5abb</x:v>
      </x:c>
      <x:c r="AC212" s="21" t="str">
        <x:v>En cours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QA actuelle. Accord non consigné ou périmé. Publication non consignée ou périmée.</x:v>
      </x:c>
      <x:c r="AB213" s="21" t="str">
        <x:v>34209f968444db816f75779cd5b876df002ae9d3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Lot 13</x:v>
      </x:c>
      <x:c r="E214" s="25" t="str">
        <x:v>Animaux</x:v>
      </x:c>
      <x:c r="F214" s="24" t="str">
        <x:f>IF(AND(G214=8,COUNTIF(Q214:V214,"Atlas")=6),"Intégré","À faire")</x:f>
        <x:v>Intégré</x:v>
      </x:c>
      <x:c r="G214" s="27" t="n">
        <x:f>COUNTIF(I214:P214,"Présent")</x:f>
        <x:v>8</x:v>
      </x:c>
      <x:c r="H214" s="24" t="str">
        <x:v>Archivé Drive</x:v>
      </x:c>
      <x:c r="I214" s="24" t="str">
        <x:v>Présent</x:v>
      </x:c>
      <x:c r="J214" s="24" t="str">
        <x:v>Présent</x:v>
      </x:c>
      <x:c r="K214" s="24" t="str">
        <x:v>Présent</x:v>
      </x:c>
      <x:c r="L214" s="24" t="str">
        <x:v>Présent</x:v>
      </x:c>
      <x:c r="M214" s="24" t="str">
        <x:v>Présent</x:v>
      </x:c>
      <x:c r="N214" s="24" t="str">
        <x:v>Présent</x:v>
      </x:c>
      <x:c r="O214" s="24" t="str">
        <x:v>Présent</x:v>
      </x:c>
      <x:c r="P214" s="24" t="str">
        <x:v>Présent</x:v>
      </x:c>
      <x:c r="Q214" s="24" t="str">
        <x:v>Atlas</x:v>
      </x:c>
      <x:c r="R214" s="24" t="str">
        <x:v>Atlas</x:v>
      </x:c>
      <x:c r="S214" s="24" t="str">
        <x:v>Atlas</x:v>
      </x:c>
      <x:c r="T214" s="24" t="str">
        <x:v>Atlas</x:v>
      </x:c>
      <x:c r="U214" s="24" t="str">
        <x:v>Atlas</x:v>
      </x:c>
      <x:c r="V214" s="24" t="str">
        <x:v>Atlas</x:v>
      </x:c>
      <x:c r="W214" s="24" t="str">
        <x:v>6/6 actuelles</x:v>
      </x:c>
      <x:c r="X214" s="24" t="str">
        <x:v>6/6 actuelles</x:v>
      </x:c>
      <x:c r="Y214" s="24" t="str">
        <x:v>Non consignée</x:v>
      </x:c>
      <x:c r="Z214" s="24" t="str">
        <x:v>Périmée (0/6)</x:v>
      </x:c>
      <x:c r="AA214" s="23" t="str">
        <x:v>QA actuelle. Accord non consigné ou périmé. Publication non consignée ou périmée.</x:v>
      </x:c>
      <x:c r="AB214" s="21" t="str">
        <x:v>e03821783020a61aeaaa58d22886e2118781efaa</x:v>
      </x:c>
      <x:c r="AC214" s="21" t="str">
        <x:v>En cours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Lot 11</x:v>
      </x:c>
      <x:c r="E215" s="25" t="str">
        <x:v>Lieux</x:v>
      </x:c>
      <x:c r="F215" s="24" t="str">
        <x:f>IF(AND(G215=8,COUNTIF(Q215:V215,"Atlas")=6),"Intégré","À faire")</x:f>
        <x:v>Intégré</x:v>
      </x:c>
      <x:c r="G215" s="27" t="n">
        <x:f>COUNTIF(I215:P215,"Présent")</x:f>
        <x:v>8</x:v>
      </x:c>
      <x:c r="H215" s="24" t="str">
        <x:v>Archivé Drive</x:v>
      </x:c>
      <x:c r="I215" s="24" t="str">
        <x:v>Présent</x:v>
      </x:c>
      <x:c r="J215" s="24" t="str">
        <x:v>Présent</x:v>
      </x:c>
      <x:c r="K215" s="24" t="str">
        <x:v>Présent</x:v>
      </x:c>
      <x:c r="L215" s="24" t="str">
        <x:v>Présent</x:v>
      </x:c>
      <x:c r="M215" s="24" t="str">
        <x:v>Présent</x:v>
      </x:c>
      <x:c r="N215" s="24" t="str">
        <x:v>Présent</x:v>
      </x:c>
      <x:c r="O215" s="24" t="str">
        <x:v>Présent</x:v>
      </x:c>
      <x:c r="P215" s="24" t="str">
        <x:v>Présent</x:v>
      </x:c>
      <x:c r="Q215" s="24" t="str">
        <x:v>Atlas</x:v>
      </x:c>
      <x:c r="R215" s="24" t="str">
        <x:v>Atlas</x:v>
      </x:c>
      <x:c r="S215" s="24" t="str">
        <x:v>Atlas</x:v>
      </x:c>
      <x:c r="T215" s="24" t="str">
        <x:v>Atlas</x:v>
      </x:c>
      <x:c r="U215" s="24" t="str">
        <x:v>Atlas</x:v>
      </x:c>
      <x:c r="V215" s="24" t="str">
        <x:v>Atlas</x:v>
      </x:c>
      <x:c r="W215" s="24" t="str">
        <x:v>6/6 actuelles</x:v>
      </x:c>
      <x:c r="X215" s="24" t="str">
        <x:v>6/6 actuelles</x:v>
      </x:c>
      <x:c r="Y215" s="24" t="str">
        <x:v>Non consignée</x:v>
      </x:c>
      <x:c r="Z215" s="24" t="str">
        <x:v>Périmée (0/6)</x:v>
      </x:c>
      <x:c r="AA215" s="23" t="str">
        <x:v>QA actuelle. Accord non consigné ou périmé. Publication non consignée ou périmée.</x:v>
      </x:c>
      <x:c r="AB215" s="21" t="str">
        <x:v>34209f968444db816f75779cd5b876df002ae9d3</x:v>
      </x:c>
      <x:c r="AC215" s="21" t="str">
        <x:v>En cours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QA actuelle. Accord non consigné ou périmé. Publication non consignée ou périmée.</x:v>
      </x:c>
      <x:c r="AB216" s="21" t="str">
        <x:v>34209f968444db816f75779cd5b876df002ae9d3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Lot 12</x:v>
      </x:c>
      <x:c r="E217" s="25" t="str">
        <x:v>Animaux</x:v>
      </x:c>
      <x:c r="F217" s="24" t="str">
        <x:f>IF(AND(G217=8,COUNTIF(Q217:V217,"Atlas")=6),"Intégré","À faire")</x:f>
        <x:v>Intégré</x:v>
      </x:c>
      <x:c r="G217" s="27" t="n">
        <x:f>COUNTIF(I217:P217,"Présent")</x:f>
        <x:v>8</x:v>
      </x:c>
      <x:c r="H217" s="24" t="str">
        <x:v>Archivé Drive</x:v>
      </x:c>
      <x:c r="I217" s="24" t="str">
        <x:v>Présent</x:v>
      </x:c>
      <x:c r="J217" s="24" t="str">
        <x:v>Présent</x:v>
      </x:c>
      <x:c r="K217" s="24" t="str">
        <x:v>Présent</x:v>
      </x:c>
      <x:c r="L217" s="24" t="str">
        <x:v>Présent</x:v>
      </x:c>
      <x:c r="M217" s="24" t="str">
        <x:v>Présent</x:v>
      </x:c>
      <x:c r="N217" s="24" t="str">
        <x:v>Présent</x:v>
      </x:c>
      <x:c r="O217" s="24" t="str">
        <x:v>Présent</x:v>
      </x:c>
      <x:c r="P217" s="24" t="str">
        <x:v>Présent</x:v>
      </x:c>
      <x:c r="Q217" s="24" t="str">
        <x:v>Atlas</x:v>
      </x:c>
      <x:c r="R217" s="24" t="str">
        <x:v>Atlas</x:v>
      </x:c>
      <x:c r="S217" s="24" t="str">
        <x:v>Atlas</x:v>
      </x:c>
      <x:c r="T217" s="24" t="str">
        <x:v>Atlas</x:v>
      </x:c>
      <x:c r="U217" s="24" t="str">
        <x:v>Atlas</x:v>
      </x:c>
      <x:c r="V217" s="24" t="str">
        <x:v>Atlas</x:v>
      </x:c>
      <x:c r="W217" s="24" t="str">
        <x:v>6/6 actuelles</x:v>
      </x:c>
      <x:c r="X217" s="24" t="str">
        <x:v>6/6 actuelles</x:v>
      </x:c>
      <x:c r="Y217" s="24" t="str">
        <x:v>Non consignée</x:v>
      </x:c>
      <x:c r="Z217" s="24" t="str">
        <x:v>Périmée (0/6)</x:v>
      </x:c>
      <x:c r="AA217" s="23" t="str">
        <x:v>QA actuelle. Accord non consigné ou périmé. Publication non consignée ou périmée.</x:v>
      </x:c>
      <x:c r="AB217" s="21" t="str">
        <x:v>b17117db72da867328bfee7e7b5ac7c17acc0aab</x:v>
      </x:c>
      <x:c r="AC217" s="21" t="str">
        <x:v>En cours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Lot 11</x:v>
      </x:c>
      <x:c r="E218" s="25" t="str">
        <x:v>Actions</x:v>
      </x:c>
      <x:c r="F218" s="24" t="str">
        <x:f>IF(AND(G218=8,COUNTIF(Q218:V218,"Atlas")=6),"Intégré","À faire")</x:f>
        <x:v>Intégré</x:v>
      </x:c>
      <x:c r="G218" s="27" t="n">
        <x:f>COUNTIF(I218:P218,"Présent")</x:f>
        <x:v>8</x:v>
      </x:c>
      <x:c r="H218" s="24" t="str">
        <x:v>Archivé Drive</x:v>
      </x:c>
      <x:c r="I218" s="24" t="str">
        <x:v>Présent</x:v>
      </x:c>
      <x:c r="J218" s="24" t="str">
        <x:v>Présent</x:v>
      </x:c>
      <x:c r="K218" s="24" t="str">
        <x:v>Présent</x:v>
      </x:c>
      <x:c r="L218" s="24" t="str">
        <x:v>Présent</x:v>
      </x:c>
      <x:c r="M218" s="24" t="str">
        <x:v>Présent</x:v>
      </x:c>
      <x:c r="N218" s="24" t="str">
        <x:v>Présent</x:v>
      </x:c>
      <x:c r="O218" s="24" t="str">
        <x:v>Présent</x:v>
      </x:c>
      <x:c r="P218" s="24" t="str">
        <x:v>Présent</x:v>
      </x:c>
      <x:c r="Q218" s="24" t="str">
        <x:v>Atlas</x:v>
      </x:c>
      <x:c r="R218" s="24" t="str">
        <x:v>Atlas</x:v>
      </x:c>
      <x:c r="S218" s="24" t="str">
        <x:v>Atlas</x:v>
      </x:c>
      <x:c r="T218" s="24" t="str">
        <x:v>Atlas</x:v>
      </x:c>
      <x:c r="U218" s="24" t="str">
        <x:v>Atlas</x:v>
      </x:c>
      <x:c r="V218" s="24" t="str">
        <x:v>Atlas</x:v>
      </x:c>
      <x:c r="W218" s="24" t="str">
        <x:v>6/6 actuelles</x:v>
      </x:c>
      <x:c r="X218" s="24" t="str">
        <x:v>6/6 actuelles</x:v>
      </x:c>
      <x:c r="Y218" s="24" t="str">
        <x:v>Non consignée</x:v>
      </x:c>
      <x:c r="Z218" s="24" t="str">
        <x:v>Périmée (0/6)</x:v>
      </x:c>
      <x:c r="AA218" s="23" t="str">
        <x:v>QA actuelle. Accord non consigné ou périmé. Publication non consignée ou périmée.</x:v>
      </x:c>
      <x:c r="AB218" s="21" t="str">
        <x:v>34209f968444db816f75779cd5b876df002ae9d3</x:v>
      </x:c>
      <x:c r="AC218" s="21" t="str">
        <x:v>En cours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Lot 12</x:v>
      </x:c>
      <x:c r="E219" s="25" t="str">
        <x:v>Animaux</x:v>
      </x:c>
      <x:c r="F219" s="24" t="str">
        <x:f>IF(AND(G219=8,COUNTIF(Q219:V219,"Atlas")=6),"Intégré","À faire")</x:f>
        <x:v>Intégré</x:v>
      </x:c>
      <x:c r="G219" s="27" t="n">
        <x:f>COUNTIF(I219:P219,"Présent")</x:f>
        <x:v>8</x:v>
      </x:c>
      <x:c r="H219" s="24" t="str">
        <x:v>Archivé Drive</x:v>
      </x:c>
      <x:c r="I219" s="24" t="str">
        <x:v>Présent</x:v>
      </x:c>
      <x:c r="J219" s="24" t="str">
        <x:v>Présent</x:v>
      </x:c>
      <x:c r="K219" s="24" t="str">
        <x:v>Présent</x:v>
      </x:c>
      <x:c r="L219" s="24" t="str">
        <x:v>Présent</x:v>
      </x:c>
      <x:c r="M219" s="24" t="str">
        <x:v>Présent</x:v>
      </x:c>
      <x:c r="N219" s="24" t="str">
        <x:v>Présent</x:v>
      </x:c>
      <x:c r="O219" s="24" t="str">
        <x:v>Présent</x:v>
      </x:c>
      <x:c r="P219" s="24" t="str">
        <x:v>Présent</x:v>
      </x:c>
      <x:c r="Q219" s="24" t="str">
        <x:v>Atlas</x:v>
      </x:c>
      <x:c r="R219" s="24" t="str">
        <x:v>Atlas</x:v>
      </x:c>
      <x:c r="S219" s="24" t="str">
        <x:v>Atlas</x:v>
      </x:c>
      <x:c r="T219" s="24" t="str">
        <x:v>Atlas</x:v>
      </x:c>
      <x:c r="U219" s="24" t="str">
        <x:v>Atlas</x:v>
      </x:c>
      <x:c r="V219" s="24" t="str">
        <x:v>Atlas</x:v>
      </x:c>
      <x:c r="W219" s="24" t="str">
        <x:v>6/6 actuelles</x:v>
      </x:c>
      <x:c r="X219" s="24" t="str">
        <x:v>6/6 actuelles</x:v>
      </x:c>
      <x:c r="Y219" s="24" t="str">
        <x:v>Non consignée</x:v>
      </x:c>
      <x:c r="Z219" s="24" t="str">
        <x:v>Périmée (0/6)</x:v>
      </x:c>
      <x:c r="AA219" s="23" t="str">
        <x:v>QA actuelle. Accord non consigné ou périmé. Publication non consignée ou périmée.</x:v>
      </x:c>
      <x:c r="AB219" s="21" t="str">
        <x:v>b17117db72da867328bfee7e7b5ac7c17acc0aab</x:v>
      </x:c>
      <x:c r="AC219" s="21" t="str">
        <x:v>En cours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Lot 12</x:v>
      </x:c>
      <x:c r="E220" s="25" t="str">
        <x:v>Nature</x:v>
      </x:c>
      <x:c r="F220" s="24" t="str">
        <x:f>IF(AND(G220=8,COUNTIF(Q220:V220,"Atlas")=6),"Intégré","À faire")</x:f>
        <x:v>Intégré</x:v>
      </x:c>
      <x:c r="G220" s="27" t="n">
        <x:f>COUNTIF(I220:P220,"Présent")</x:f>
        <x:v>8</x:v>
      </x:c>
      <x:c r="H220" s="24" t="str">
        <x:v>Archivé Drive</x:v>
      </x:c>
      <x:c r="I220" s="24" t="str">
        <x:v>Présent</x:v>
      </x:c>
      <x:c r="J220" s="24" t="str">
        <x:v>Présent</x:v>
      </x:c>
      <x:c r="K220" s="24" t="str">
        <x:v>Présent</x:v>
      </x:c>
      <x:c r="L220" s="24" t="str">
        <x:v>Présent</x:v>
      </x:c>
      <x:c r="M220" s="24" t="str">
        <x:v>Présent</x:v>
      </x:c>
      <x:c r="N220" s="24" t="str">
        <x:v>Présent</x:v>
      </x:c>
      <x:c r="O220" s="24" t="str">
        <x:v>Présent</x:v>
      </x:c>
      <x:c r="P220" s="24" t="str">
        <x:v>Présent</x:v>
      </x:c>
      <x:c r="Q220" s="24" t="str">
        <x:v>Atlas</x:v>
      </x:c>
      <x:c r="R220" s="24" t="str">
        <x:v>Atlas</x:v>
      </x:c>
      <x:c r="S220" s="24" t="str">
        <x:v>Atlas</x:v>
      </x:c>
      <x:c r="T220" s="24" t="str">
        <x:v>Atlas</x:v>
      </x:c>
      <x:c r="U220" s="24" t="str">
        <x:v>Atlas</x:v>
      </x:c>
      <x:c r="V220" s="24" t="str">
        <x:v>Atlas</x:v>
      </x:c>
      <x:c r="W220" s="24" t="str">
        <x:v>6/6 actuelles</x:v>
      </x:c>
      <x:c r="X220" s="24" t="str">
        <x:v>6/6 actuelles</x:v>
      </x:c>
      <x:c r="Y220" s="24" t="str">
        <x:v>Non consignée</x:v>
      </x:c>
      <x:c r="Z220" s="24" t="str">
        <x:v>Périmée (0/6)</x:v>
      </x:c>
      <x:c r="AA220" s="23" t="str">
        <x:v>QA actuelle. Accord non consigné ou périmé. Publication non consignée ou périmée.</x:v>
      </x:c>
      <x:c r="AB220" s="21" t="str">
        <x:v>b17117db72da867328bfee7e7b5ac7c17acc0aab</x:v>
      </x:c>
      <x:c r="AC220" s="21" t="str">
        <x:v>En cours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6/6 actuelles</x:v>
      </x:c>
      <x:c r="X221" s="24" t="str">
        <x:v>6/6 actuelles</x:v>
      </x:c>
      <x:c r="Y221" s="24" t="str">
        <x:v>Non consignée</x:v>
      </x:c>
      <x:c r="Z221" s="24" t="str">
        <x:v>Périmée (0/6)</x:v>
      </x:c>
      <x:c r="AA221" s="23" t="str">
        <x:v>QA actuelle. Accord non consigné ou périmé. Publication non consignée ou périmée.</x:v>
      </x:c>
      <x:c r="AB221" s="21" t="str">
        <x:v>34209f968444db816f75779cd5b876df002ae9d3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QA actuelle. Accord non consigné ou périmé. Publication non consignée ou périmée.</x:v>
      </x:c>
      <x:c r="AB222" s="21" t="str">
        <x:v>34209f968444db816f75779cd5b876df002ae9d3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Lot 11</x:v>
      </x:c>
      <x:c r="E223" s="25" t="str">
        <x:v>Actions</x:v>
      </x:c>
      <x:c r="F223" s="24" t="str">
        <x:f>IF(AND(G223=8,COUNTIF(Q223:V223,"Atlas")=6),"Intégré","À faire")</x:f>
        <x:v>Intégré</x:v>
      </x:c>
      <x:c r="G223" s="27" t="n">
        <x:f>COUNTIF(I223:P223,"Présent")</x:f>
        <x:v>8</x:v>
      </x:c>
      <x:c r="H223" s="24" t="str">
        <x:v>Archivé Drive</x:v>
      </x:c>
      <x:c r="I223" s="24" t="str">
        <x:v>Présent</x:v>
      </x:c>
      <x:c r="J223" s="24" t="str">
        <x:v>Présent</x:v>
      </x:c>
      <x:c r="K223" s="24" t="str">
        <x:v>Présent</x:v>
      </x:c>
      <x:c r="L223" s="24" t="str">
        <x:v>Présent</x:v>
      </x:c>
      <x:c r="M223" s="24" t="str">
        <x:v>Présent</x:v>
      </x:c>
      <x:c r="N223" s="24" t="str">
        <x:v>Présent</x:v>
      </x:c>
      <x:c r="O223" s="24" t="str">
        <x:v>Présent</x:v>
      </x:c>
      <x:c r="P223" s="24" t="str">
        <x:v>Présent</x:v>
      </x:c>
      <x:c r="Q223" s="24" t="str">
        <x:v>Atlas</x:v>
      </x:c>
      <x:c r="R223" s="24" t="str">
        <x:v>Atlas</x:v>
      </x:c>
      <x:c r="S223" s="24" t="str">
        <x:v>Atlas</x:v>
      </x:c>
      <x:c r="T223" s="24" t="str">
        <x:v>Atlas</x:v>
      </x:c>
      <x:c r="U223" s="24" t="str">
        <x:v>Atlas</x:v>
      </x:c>
      <x:c r="V223" s="24" t="str">
        <x:v>Atlas</x:v>
      </x:c>
      <x:c r="W223" s="24" t="str">
        <x:v>6/6 actuelles</x:v>
      </x:c>
      <x:c r="X223" s="24" t="str">
        <x:v>6/6 actuelles</x:v>
      </x:c>
      <x:c r="Y223" s="24" t="str">
        <x:v>Non consignée</x:v>
      </x:c>
      <x:c r="Z223" s="24" t="str">
        <x:v>Périmée (0/6)</x:v>
      </x:c>
      <x:c r="AA223" s="23" t="str">
        <x:v>QA actuelle. Accord non consigné ou périmé. Publication non consignée ou périmée.</x:v>
      </x:c>
      <x:c r="AB223" s="21" t="str">
        <x:v>34209f968444db816f75779cd5b876df002ae9d3</x:v>
      </x:c>
      <x:c r="AC223" s="21" t="str">
        <x:v>En cours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QA actuelle. Accord non consigné ou périmé. Publication non consignée ou périmée.</x:v>
      </x:c>
      <x:c r="AB224" s="21" t="str">
        <x:v>34209f968444db816f75779cd5b876df002ae9d3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QA actuelle. Accord non consigné ou périmé. Publication non consignée ou périmée.</x:v>
      </x:c>
      <x:c r="AB225" s="21" t="str">
        <x:v>34209f968444db816f75779cd5b876df002ae9d3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QA actuelle. Accord non consigné ou périmé. Publication non consignée ou périmée.</x:v>
      </x:c>
      <x:c r="AB226" s="21" t="str">
        <x:v>34209f968444db816f75779cd5b876df002ae9d3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Lot 13</x:v>
      </x:c>
      <x:c r="E227" s="25" t="str">
        <x:v>Animaux</x:v>
      </x:c>
      <x:c r="F227" s="24" t="str">
        <x:f>IF(AND(G227=8,COUNTIF(Q227:V227,"Atlas")=6),"Intégré","À faire")</x:f>
        <x:v>Intégré</x:v>
      </x:c>
      <x:c r="G227" s="27" t="n">
        <x:f>COUNTIF(I227:P227,"Présent")</x:f>
        <x:v>8</x:v>
      </x:c>
      <x:c r="H227" s="24" t="str">
        <x:v>Archivé Drive</x:v>
      </x:c>
      <x:c r="I227" s="24" t="str">
        <x:v>Présent</x:v>
      </x:c>
      <x:c r="J227" s="24" t="str">
        <x:v>Présent</x:v>
      </x:c>
      <x:c r="K227" s="24" t="str">
        <x:v>Présent</x:v>
      </x:c>
      <x:c r="L227" s="24" t="str">
        <x:v>Présent</x:v>
      </x:c>
      <x:c r="M227" s="24" t="str">
        <x:v>Présent</x:v>
      </x:c>
      <x:c r="N227" s="24" t="str">
        <x:v>Présent</x:v>
      </x:c>
      <x:c r="O227" s="24" t="str">
        <x:v>Présent</x:v>
      </x:c>
      <x:c r="P227" s="24" t="str">
        <x:v>Présent</x:v>
      </x:c>
      <x:c r="Q227" s="24" t="str">
        <x:v>Atlas</x:v>
      </x:c>
      <x:c r="R227" s="24" t="str">
        <x:v>Atlas</x:v>
      </x:c>
      <x:c r="S227" s="24" t="str">
        <x:v>Atlas</x:v>
      </x:c>
      <x:c r="T227" s="24" t="str">
        <x:v>Atlas</x:v>
      </x:c>
      <x:c r="U227" s="24" t="str">
        <x:v>Atlas</x:v>
      </x:c>
      <x:c r="V227" s="24" t="str">
        <x:v>Atlas</x:v>
      </x:c>
      <x:c r="W227" s="24" t="str">
        <x:v>6/6 actuelles</x:v>
      </x:c>
      <x:c r="X227" s="24" t="str">
        <x:v>6/6 actuelles</x:v>
      </x:c>
      <x:c r="Y227" s="24" t="str">
        <x:v>Non consignée</x:v>
      </x:c>
      <x:c r="Z227" s="24" t="str">
        <x:v>Périmée (0/6)</x:v>
      </x:c>
      <x:c r="AA227" s="23" t="str">
        <x:v>QA actuelle. Accord non consigné ou périmé. Publication non consignée ou périmée.</x:v>
      </x:c>
      <x:c r="AB227" s="21" t="str">
        <x:v>e03821783020a61aeaaa58d22886e2118781efaa</x:v>
      </x:c>
      <x:c r="AC227" s="21" t="str">
        <x:v>En cours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Lot 13</x:v>
      </x:c>
      <x:c r="E228" s="25" t="str">
        <x:v>Actions</x:v>
      </x:c>
      <x:c r="F228" s="24" t="str">
        <x:f>IF(AND(G228=8,COUNTIF(Q228:V228,"Atlas")=6),"Intégré","À faire")</x:f>
        <x:v>Intégré</x:v>
      </x:c>
      <x:c r="G228" s="27" t="n">
        <x:f>COUNTIF(I228:P228,"Présent")</x:f>
        <x:v>8</x:v>
      </x:c>
      <x:c r="H228" s="24" t="str">
        <x:v>Archivé Drive</x:v>
      </x:c>
      <x:c r="I228" s="24" t="str">
        <x:v>Présent</x:v>
      </x:c>
      <x:c r="J228" s="24" t="str">
        <x:v>Présent</x:v>
      </x:c>
      <x:c r="K228" s="24" t="str">
        <x:v>Présent</x:v>
      </x:c>
      <x:c r="L228" s="24" t="str">
        <x:v>Présent</x:v>
      </x:c>
      <x:c r="M228" s="24" t="str">
        <x:v>Présent</x:v>
      </x:c>
      <x:c r="N228" s="24" t="str">
        <x:v>Présent</x:v>
      </x:c>
      <x:c r="O228" s="24" t="str">
        <x:v>Présent</x:v>
      </x:c>
      <x:c r="P228" s="24" t="str">
        <x:v>Présent</x:v>
      </x:c>
      <x:c r="Q228" s="24" t="str">
        <x:v>Atlas</x:v>
      </x:c>
      <x:c r="R228" s="24" t="str">
        <x:v>Atlas</x:v>
      </x:c>
      <x:c r="S228" s="24" t="str">
        <x:v>Atlas</x:v>
      </x:c>
      <x:c r="T228" s="24" t="str">
        <x:v>Atlas</x:v>
      </x:c>
      <x:c r="U228" s="24" t="str">
        <x:v>Atlas</x:v>
      </x:c>
      <x:c r="V228" s="24" t="str">
        <x:v>Atlas</x:v>
      </x:c>
      <x:c r="W228" s="24" t="str">
        <x:v>6/6 actuelles</x:v>
      </x:c>
      <x:c r="X228" s="24" t="str">
        <x:v>6/6 actuelles</x:v>
      </x:c>
      <x:c r="Y228" s="24" t="str">
        <x:v>Non consignée</x:v>
      </x:c>
      <x:c r="Z228" s="24" t="str">
        <x:v>Périmée (0/6)</x:v>
      </x:c>
      <x:c r="AA228" s="23" t="str">
        <x:v>QA actuelle. Accord non consigné ou périmé. Publication non consignée ou périmée.</x:v>
      </x:c>
      <x:c r="AB228" s="21" t="str">
        <x:v>e03821783020a61aeaaa58d22886e2118781efaa</x:v>
      </x:c>
      <x:c r="AC228" s="21" t="str">
        <x:v>En cours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Lot 11</x:v>
      </x:c>
      <x:c r="E229" s="25" t="str">
        <x:v>Actions</x:v>
      </x:c>
      <x:c r="F229" s="24" t="str">
        <x:f>IF(AND(G229=8,COUNTIF(Q229:V229,"Atlas")=6),"Intégré","À faire")</x:f>
        <x:v>Intégré</x:v>
      </x:c>
      <x:c r="G229" s="27" t="n">
        <x:f>COUNTIF(I229:P229,"Présent")</x:f>
        <x:v>8</x:v>
      </x:c>
      <x:c r="H229" s="24" t="str">
        <x:v>Archivé Drive</x:v>
      </x:c>
      <x:c r="I229" s="24" t="str">
        <x:v>Présent</x:v>
      </x:c>
      <x:c r="J229" s="24" t="str">
        <x:v>Présent</x:v>
      </x:c>
      <x:c r="K229" s="24" t="str">
        <x:v>Présent</x:v>
      </x:c>
      <x:c r="L229" s="24" t="str">
        <x:v>Présent</x:v>
      </x:c>
      <x:c r="M229" s="24" t="str">
        <x:v>Présent</x:v>
      </x:c>
      <x:c r="N229" s="24" t="str">
        <x:v>Présent</x:v>
      </x:c>
      <x:c r="O229" s="24" t="str">
        <x:v>Présent</x:v>
      </x:c>
      <x:c r="P229" s="24" t="str">
        <x:v>Présent</x:v>
      </x:c>
      <x:c r="Q229" s="24" t="str">
        <x:v>Atlas</x:v>
      </x:c>
      <x:c r="R229" s="24" t="str">
        <x:v>Atlas</x:v>
      </x:c>
      <x:c r="S229" s="24" t="str">
        <x:v>Atlas</x:v>
      </x:c>
      <x:c r="T229" s="24" t="str">
        <x:v>Atlas</x:v>
      </x:c>
      <x:c r="U229" s="24" t="str">
        <x:v>Atlas</x:v>
      </x:c>
      <x:c r="V229" s="24" t="str">
        <x:v>Atlas</x:v>
      </x:c>
      <x:c r="W229" s="24" t="str">
        <x:v>6/6 actuelles</x:v>
      </x:c>
      <x:c r="X229" s="24" t="str">
        <x:v>6/6 actuelles</x:v>
      </x:c>
      <x:c r="Y229" s="24" t="str">
        <x:v>Non consignée</x:v>
      </x:c>
      <x:c r="Z229" s="24" t="str">
        <x:v>Périmée (0/6)</x:v>
      </x:c>
      <x:c r="AA229" s="23" t="str">
        <x:v>QA actuelle. Accord non consigné ou périmé. Publication non consignée ou périmée.</x:v>
      </x:c>
      <x:c r="AB229" s="21" t="str">
        <x:v>34209f968444db816f75779cd5b876df002ae9d3</x:v>
      </x:c>
      <x:c r="AC229" s="21" t="str">
        <x:v>En cours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Lot 13</x:v>
      </x:c>
      <x:c r="E230" s="25" t="str">
        <x:v>Actions</x:v>
      </x:c>
      <x:c r="F230" s="24" t="str">
        <x:f>IF(AND(G230=8,COUNTIF(Q230:V230,"Atlas")=6),"Intégré","À faire")</x:f>
        <x:v>Intégré</x:v>
      </x:c>
      <x:c r="G230" s="27" t="n">
        <x:f>COUNTIF(I230:P230,"Présent")</x:f>
        <x:v>8</x:v>
      </x:c>
      <x:c r="H230" s="24" t="str">
        <x:v>Archivé Drive</x:v>
      </x:c>
      <x:c r="I230" s="24" t="str">
        <x:v>Présent</x:v>
      </x:c>
      <x:c r="J230" s="24" t="str">
        <x:v>Présent</x:v>
      </x:c>
      <x:c r="K230" s="24" t="str">
        <x:v>Présent</x:v>
      </x:c>
      <x:c r="L230" s="24" t="str">
        <x:v>Présent</x:v>
      </x:c>
      <x:c r="M230" s="24" t="str">
        <x:v>Présent</x:v>
      </x:c>
      <x:c r="N230" s="24" t="str">
        <x:v>Présent</x:v>
      </x:c>
      <x:c r="O230" s="24" t="str">
        <x:v>Présent</x:v>
      </x:c>
      <x:c r="P230" s="24" t="str">
        <x:v>Présent</x:v>
      </x:c>
      <x:c r="Q230" s="24" t="str">
        <x:v>Atlas</x:v>
      </x:c>
      <x:c r="R230" s="24" t="str">
        <x:v>Atlas</x:v>
      </x:c>
      <x:c r="S230" s="24" t="str">
        <x:v>Atlas</x:v>
      </x:c>
      <x:c r="T230" s="24" t="str">
        <x:v>Atlas</x:v>
      </x:c>
      <x:c r="U230" s="24" t="str">
        <x:v>Atlas</x:v>
      </x:c>
      <x:c r="V230" s="24" t="str">
        <x:v>Atlas</x:v>
      </x:c>
      <x:c r="W230" s="24" t="str">
        <x:v>6/6 actuelles</x:v>
      </x:c>
      <x:c r="X230" s="24" t="str">
        <x:v>6/6 actuelles</x:v>
      </x:c>
      <x:c r="Y230" s="24" t="str">
        <x:v>Non consignée</x:v>
      </x:c>
      <x:c r="Z230" s="24" t="str">
        <x:v>Périmée (0/6)</x:v>
      </x:c>
      <x:c r="AA230" s="23" t="str">
        <x:v>QA actuelle. Accord non consigné ou périmé. Publication non consignée ou périmée.</x:v>
      </x:c>
      <x:c r="AB230" s="21" t="str">
        <x:v>e03821783020a61aeaaa58d22886e2118781efaa</x:v>
      </x:c>
      <x:c r="AC230" s="21" t="str">
        <x:v>En cours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Lot 13</x:v>
      </x:c>
      <x:c r="E231" s="25" t="str">
        <x:v>Animaux</x:v>
      </x:c>
      <x:c r="F231" s="24" t="str">
        <x:f>IF(AND(G231=8,COUNTIF(Q231:V231,"Atlas")=6),"Intégré","À faire")</x:f>
        <x:v>Intégré</x:v>
      </x:c>
      <x:c r="G231" s="27" t="n">
        <x:f>COUNTIF(I231:P231,"Présent")</x:f>
        <x:v>8</x:v>
      </x:c>
      <x:c r="H231" s="24" t="str">
        <x:v>Archivé Drive</x:v>
      </x:c>
      <x:c r="I231" s="24" t="str">
        <x:v>Présent</x:v>
      </x:c>
      <x:c r="J231" s="24" t="str">
        <x:v>Présent</x:v>
      </x:c>
      <x:c r="K231" s="24" t="str">
        <x:v>Présent</x:v>
      </x:c>
      <x:c r="L231" s="24" t="str">
        <x:v>Présent</x:v>
      </x:c>
      <x:c r="M231" s="24" t="str">
        <x:v>Présent</x:v>
      </x:c>
      <x:c r="N231" s="24" t="str">
        <x:v>Présent</x:v>
      </x:c>
      <x:c r="O231" s="24" t="str">
        <x:v>Présent</x:v>
      </x:c>
      <x:c r="P231" s="24" t="str">
        <x:v>Présent</x:v>
      </x:c>
      <x:c r="Q231" s="24" t="str">
        <x:v>Atlas</x:v>
      </x:c>
      <x:c r="R231" s="24" t="str">
        <x:v>Atlas</x:v>
      </x:c>
      <x:c r="S231" s="24" t="str">
        <x:v>Atlas</x:v>
      </x:c>
      <x:c r="T231" s="24" t="str">
        <x:v>Atlas</x:v>
      </x:c>
      <x:c r="U231" s="24" t="str">
        <x:v>Atlas</x:v>
      </x:c>
      <x:c r="V231" s="24" t="str">
        <x:v>Atlas</x:v>
      </x:c>
      <x:c r="W231" s="24" t="str">
        <x:v>6/6 actuelles</x:v>
      </x:c>
      <x:c r="X231" s="24" t="str">
        <x:v>6/6 actuelles</x:v>
      </x:c>
      <x:c r="Y231" s="24" t="str">
        <x:v>Non consignée</x:v>
      </x:c>
      <x:c r="Z231" s="24" t="str">
        <x:v>Périmée (0/6)</x:v>
      </x:c>
      <x:c r="AA231" s="23" t="str">
        <x:v>QA actuelle. Accord non consigné ou périmé. Publication non consignée ou périmée.</x:v>
      </x:c>
      <x:c r="AB231" s="21" t="str">
        <x:v>e03821783020a61aeaaa58d22886e2118781efaa</x:v>
      </x:c>
      <x:c r="AC231" s="21" t="str">
        <x:v>En cours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QA actuelle. Accord non consigné ou périmé. Publication non consignée ou périmée.</x:v>
      </x:c>
      <x:c r="AB232" s="21" t="str">
        <x:v>34209f968444db816f75779cd5b876df002ae9d3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Lot 14</x:v>
      </x:c>
      <x:c r="E233" s="25" t="str">
        <x:v>Personnes</x:v>
      </x:c>
      <x:c r="F233" s="24" t="str">
        <x:f>IF(AND(G233=8,COUNTIF(Q233:V233,"Atlas")=6),"Intégré","À faire")</x:f>
        <x:v>Intégré</x:v>
      </x:c>
      <x:c r="G233" s="27" t="n">
        <x:f>COUNTIF(I233:P233,"Présent")</x:f>
        <x:v>8</x:v>
      </x:c>
      <x:c r="H233" s="24" t="str">
        <x:v>Archivé Drive</x:v>
      </x:c>
      <x:c r="I233" s="24" t="str">
        <x:v>Présent</x:v>
      </x:c>
      <x:c r="J233" s="24" t="str">
        <x:v>Présent</x:v>
      </x:c>
      <x:c r="K233" s="24" t="str">
        <x:v>Présent</x:v>
      </x:c>
      <x:c r="L233" s="24" t="str">
        <x:v>Présent</x:v>
      </x:c>
      <x:c r="M233" s="24" t="str">
        <x:v>Présent</x:v>
      </x:c>
      <x:c r="N233" s="24" t="str">
        <x:v>Présent</x:v>
      </x:c>
      <x:c r="O233" s="24" t="str">
        <x:v>Présent</x:v>
      </x:c>
      <x:c r="P233" s="24" t="str">
        <x:v>Présent</x:v>
      </x:c>
      <x:c r="Q233" s="24" t="str">
        <x:v>Atlas</x:v>
      </x:c>
      <x:c r="R233" s="24" t="str">
        <x:v>Atlas</x:v>
      </x:c>
      <x:c r="S233" s="24" t="str">
        <x:v>Atlas</x:v>
      </x:c>
      <x:c r="T233" s="24" t="str">
        <x:v>Atlas</x:v>
      </x:c>
      <x:c r="U233" s="24" t="str">
        <x:v>Atlas</x:v>
      </x:c>
      <x:c r="V233" s="24" t="str">
        <x:v>Atlas</x:v>
      </x:c>
      <x:c r="W233" s="24" t="str">
        <x:v>6/6 actuelles</x:v>
      </x:c>
      <x:c r="X233" s="24" t="str">
        <x:v>6/6 actuelles</x:v>
      </x:c>
      <x:c r="Y233" s="24" t="str">
        <x:v>Non consignée</x:v>
      </x:c>
      <x:c r="Z233" s="24" t="str">
        <x:v>Périmée (0/6)</x:v>
      </x:c>
      <x:c r="AA233" s="23" t="str">
        <x:v>QA actuelle. Accord non consigné ou périmé. Publication non consignée ou périmée.</x:v>
      </x:c>
      <x:c r="AB233" s="21" t="str">
        <x:v>3eadba5f121c1017c032929534d269c330aa5abb</x:v>
      </x:c>
      <x:c r="AC233" s="21" t="str">
        <x:v>En cours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Lot 12</x:v>
      </x:c>
      <x:c r="E234" s="25" t="str">
        <x:v>Animaux</x:v>
      </x:c>
      <x:c r="F234" s="24" t="str">
        <x:f>IF(AND(G234=8,COUNTIF(Q234:V234,"Atlas")=6),"Intégré","À faire")</x:f>
        <x:v>Intégré</x:v>
      </x:c>
      <x:c r="G234" s="27" t="n">
        <x:f>COUNTIF(I234:P234,"Présent")</x:f>
        <x:v>8</x:v>
      </x:c>
      <x:c r="H234" s="24" t="str">
        <x:v>Archivé Drive</x:v>
      </x:c>
      <x:c r="I234" s="24" t="str">
        <x:v>Présent</x:v>
      </x:c>
      <x:c r="J234" s="24" t="str">
        <x:v>Présent</x:v>
      </x:c>
      <x:c r="K234" s="24" t="str">
        <x:v>Présent</x:v>
      </x:c>
      <x:c r="L234" s="24" t="str">
        <x:v>Présent</x:v>
      </x:c>
      <x:c r="M234" s="24" t="str">
        <x:v>Présent</x:v>
      </x:c>
      <x:c r="N234" s="24" t="str">
        <x:v>Présent</x:v>
      </x:c>
      <x:c r="O234" s="24" t="str">
        <x:v>Présent</x:v>
      </x:c>
      <x:c r="P234" s="24" t="str">
        <x:v>Présent</x:v>
      </x:c>
      <x:c r="Q234" s="24" t="str">
        <x:v>Atlas</x:v>
      </x:c>
      <x:c r="R234" s="24" t="str">
        <x:v>Atlas</x:v>
      </x:c>
      <x:c r="S234" s="24" t="str">
        <x:v>Atlas</x:v>
      </x:c>
      <x:c r="T234" s="24" t="str">
        <x:v>Atlas</x:v>
      </x:c>
      <x:c r="U234" s="24" t="str">
        <x:v>Atlas</x:v>
      </x:c>
      <x:c r="V234" s="24" t="str">
        <x:v>Atlas</x:v>
      </x:c>
      <x:c r="W234" s="24" t="str">
        <x:v>6/6 actuelles</x:v>
      </x:c>
      <x:c r="X234" s="24" t="str">
        <x:v>6/6 actuelles</x:v>
      </x:c>
      <x:c r="Y234" s="24" t="str">
        <x:v>Non consignée</x:v>
      </x:c>
      <x:c r="Z234" s="24" t="str">
        <x:v>Périmée (0/6)</x:v>
      </x:c>
      <x:c r="AA234" s="23" t="str">
        <x:v>QA actuelle. Accord non consigné ou périmé. Publication non consignée ou périmée.</x:v>
      </x:c>
      <x:c r="AB234" s="21" t="str">
        <x:v>b17117db72da867328bfee7e7b5ac7c17acc0aab</x:v>
      </x:c>
      <x:c r="AC234" s="21" t="str">
        <x:v>En cours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Lot 11</x:v>
      </x:c>
      <x:c r="E235" s="25" t="str">
        <x:v>Lieux</x:v>
      </x:c>
      <x:c r="F235" s="24" t="str">
        <x:f>IF(AND(G235=8,COUNTIF(Q235:V235,"Atlas")=6),"Intégré","À faire")</x:f>
        <x:v>Intégré</x:v>
      </x:c>
      <x:c r="G235" s="27" t="n">
        <x:f>COUNTIF(I235:P235,"Présent")</x:f>
        <x:v>8</x:v>
      </x:c>
      <x:c r="H235" s="24" t="str">
        <x:v>Archivé Drive</x:v>
      </x:c>
      <x:c r="I235" s="24" t="str">
        <x:v>Présent</x:v>
      </x:c>
      <x:c r="J235" s="24" t="str">
        <x:v>Présent</x:v>
      </x:c>
      <x:c r="K235" s="24" t="str">
        <x:v>Présent</x:v>
      </x:c>
      <x:c r="L235" s="24" t="str">
        <x:v>Présent</x:v>
      </x:c>
      <x:c r="M235" s="24" t="str">
        <x:v>Présent</x:v>
      </x:c>
      <x:c r="N235" s="24" t="str">
        <x:v>Présent</x:v>
      </x:c>
      <x:c r="O235" s="24" t="str">
        <x:v>Présent</x:v>
      </x:c>
      <x:c r="P235" s="24" t="str">
        <x:v>Présent</x:v>
      </x:c>
      <x:c r="Q235" s="24" t="str">
        <x:v>Atlas</x:v>
      </x:c>
      <x:c r="R235" s="24" t="str">
        <x:v>Atlas</x:v>
      </x:c>
      <x:c r="S235" s="24" t="str">
        <x:v>Atlas</x:v>
      </x:c>
      <x:c r="T235" s="24" t="str">
        <x:v>Atlas</x:v>
      </x:c>
      <x:c r="U235" s="24" t="str">
        <x:v>Atlas</x:v>
      </x:c>
      <x:c r="V235" s="24" t="str">
        <x:v>Atlas</x:v>
      </x:c>
      <x:c r="W235" s="24" t="str">
        <x:v>6/6 actuelles</x:v>
      </x:c>
      <x:c r="X235" s="24" t="str">
        <x:v>6/6 actuelles</x:v>
      </x:c>
      <x:c r="Y235" s="24" t="str">
        <x:v>Non consignée</x:v>
      </x:c>
      <x:c r="Z235" s="24" t="str">
        <x:v>Périmée (0/6)</x:v>
      </x:c>
      <x:c r="AA235" s="23" t="str">
        <x:v>QA actuelle. Accord non consigné ou périmé. Publication non consignée ou périmée.</x:v>
      </x:c>
      <x:c r="AB235" s="21" t="str">
        <x:v>34209f968444db816f75779cd5b876df002ae9d3</x:v>
      </x:c>
      <x:c r="AC235" s="21" t="str">
        <x:v>En cours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QA actuelle. Accord non consigné ou périmé. Publication non consignée ou périmée.</x:v>
      </x:c>
      <x:c r="AB236" s="21" t="str">
        <x:v>34209f968444db816f75779cd5b876df002ae9d3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Lot 11</x:v>
      </x:c>
      <x:c r="E237" s="25" t="str">
        <x:v>Objets</x:v>
      </x:c>
      <x:c r="F237" s="24" t="str">
        <x:f>IF(AND(G237=8,COUNTIF(Q237:V237,"Atlas")=6),"Intégré","À faire")</x:f>
        <x:v>Intégré</x:v>
      </x:c>
      <x:c r="G237" s="27" t="n">
        <x:f>COUNTIF(I237:P237,"Présent")</x:f>
        <x:v>8</x:v>
      </x:c>
      <x:c r="H237" s="24" t="str">
        <x:v>Archivé Drive</x:v>
      </x:c>
      <x:c r="I237" s="24" t="str">
        <x:v>Présent</x:v>
      </x:c>
      <x:c r="J237" s="24" t="str">
        <x:v>Présent</x:v>
      </x:c>
      <x:c r="K237" s="24" t="str">
        <x:v>Présent</x:v>
      </x:c>
      <x:c r="L237" s="24" t="str">
        <x:v>Présent</x:v>
      </x:c>
      <x:c r="M237" s="24" t="str">
        <x:v>Présent</x:v>
      </x:c>
      <x:c r="N237" s="24" t="str">
        <x:v>Présent</x:v>
      </x:c>
      <x:c r="O237" s="24" t="str">
        <x:v>Présent</x:v>
      </x:c>
      <x:c r="P237" s="24" t="str">
        <x:v>Présent</x:v>
      </x:c>
      <x:c r="Q237" s="24" t="str">
        <x:v>Atlas</x:v>
      </x:c>
      <x:c r="R237" s="24" t="str">
        <x:v>Atlas</x:v>
      </x:c>
      <x:c r="S237" s="24" t="str">
        <x:v>Atlas</x:v>
      </x:c>
      <x:c r="T237" s="24" t="str">
        <x:v>Atlas</x:v>
      </x:c>
      <x:c r="U237" s="24" t="str">
        <x:v>Atlas</x:v>
      </x:c>
      <x:c r="V237" s="24" t="str">
        <x:v>Atlas</x:v>
      </x:c>
      <x:c r="W237" s="24" t="str">
        <x:v>6/6 actuelles</x:v>
      </x:c>
      <x:c r="X237" s="24" t="str">
        <x:v>6/6 actuelles</x:v>
      </x:c>
      <x:c r="Y237" s="24" t="str">
        <x:v>Non consignée</x:v>
      </x:c>
      <x:c r="Z237" s="24" t="str">
        <x:v>Périmée (0/6)</x:v>
      </x:c>
      <x:c r="AA237" s="23" t="str">
        <x:v>QA actuelle. Accord non consigné ou périmé. Publication non consignée ou périmée.</x:v>
      </x:c>
      <x:c r="AB237" s="21" t="str">
        <x:v>34209f968444db816f75779cd5b876df002ae9d3</x:v>
      </x:c>
      <x:c r="AC237" s="21" t="str">
        <x:v>En cours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Lot 13</x:v>
      </x:c>
      <x:c r="E238" s="25" t="str">
        <x:v>Lieux</x:v>
      </x:c>
      <x:c r="F238" s="24" t="str">
        <x:f>IF(AND(G238=8,COUNTIF(Q238:V238,"Atlas")=6),"Intégré","À faire")</x:f>
        <x:v>Intégré</x:v>
      </x:c>
      <x:c r="G238" s="27" t="n">
        <x:f>COUNTIF(I238:P238,"Présent")</x:f>
        <x:v>8</x:v>
      </x:c>
      <x:c r="H238" s="24" t="str">
        <x:v>Archivé Drive</x:v>
      </x:c>
      <x:c r="I238" s="24" t="str">
        <x:v>Présent</x:v>
      </x:c>
      <x:c r="J238" s="24" t="str">
        <x:v>Présent</x:v>
      </x:c>
      <x:c r="K238" s="24" t="str">
        <x:v>Présent</x:v>
      </x:c>
      <x:c r="L238" s="24" t="str">
        <x:v>Présent</x:v>
      </x:c>
      <x:c r="M238" s="24" t="str">
        <x:v>Présent</x:v>
      </x:c>
      <x:c r="N238" s="24" t="str">
        <x:v>Présent</x:v>
      </x:c>
      <x:c r="O238" s="24" t="str">
        <x:v>Présent</x:v>
      </x:c>
      <x:c r="P238" s="24" t="str">
        <x:v>Présent</x:v>
      </x:c>
      <x:c r="Q238" s="24" t="str">
        <x:v>Atlas</x:v>
      </x:c>
      <x:c r="R238" s="24" t="str">
        <x:v>Atlas</x:v>
      </x:c>
      <x:c r="S238" s="24" t="str">
        <x:v>Atlas</x:v>
      </x:c>
      <x:c r="T238" s="24" t="str">
        <x:v>Atlas</x:v>
      </x:c>
      <x:c r="U238" s="24" t="str">
        <x:v>Atlas</x:v>
      </x:c>
      <x:c r="V238" s="24" t="str">
        <x:v>Atlas</x:v>
      </x:c>
      <x:c r="W238" s="24" t="str">
        <x:v>6/6 actuelles</x:v>
      </x:c>
      <x:c r="X238" s="24" t="str">
        <x:v>6/6 actuelles</x:v>
      </x:c>
      <x:c r="Y238" s="24" t="str">
        <x:v>Non consignée</x:v>
      </x:c>
      <x:c r="Z238" s="24" t="str">
        <x:v>Périmée (0/6)</x:v>
      </x:c>
      <x:c r="AA238" s="23" t="str">
        <x:v>QA actuelle. Accord non consigné ou périmé. Publication non consignée ou périmée.</x:v>
      </x:c>
      <x:c r="AB238" s="21" t="str">
        <x:v>e03821783020a61aeaaa58d22886e2118781efaa</x:v>
      </x:c>
      <x:c r="AC238" s="21" t="str">
        <x:v>En cours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Lot 12</x:v>
      </x:c>
      <x:c r="E239" s="25" t="str">
        <x:v>Nature</x:v>
      </x:c>
      <x:c r="F239" s="24" t="str">
        <x:f>IF(AND(G239=8,COUNTIF(Q239:V239,"Atlas")=6),"Intégré","À faire")</x:f>
        <x:v>Intégré</x:v>
      </x:c>
      <x:c r="G239" s="27" t="n">
        <x:f>COUNTIF(I239:P239,"Présent")</x:f>
        <x:v>8</x:v>
      </x:c>
      <x:c r="H239" s="24" t="str">
        <x:v>Archivé Drive</x:v>
      </x:c>
      <x:c r="I239" s="24" t="str">
        <x:v>Présent</x:v>
      </x:c>
      <x:c r="J239" s="24" t="str">
        <x:v>Présent</x:v>
      </x:c>
      <x:c r="K239" s="24" t="str">
        <x:v>Présent</x:v>
      </x:c>
      <x:c r="L239" s="24" t="str">
        <x:v>Présent</x:v>
      </x:c>
      <x:c r="M239" s="24" t="str">
        <x:v>Présent</x:v>
      </x:c>
      <x:c r="N239" s="24" t="str">
        <x:v>Présent</x:v>
      </x:c>
      <x:c r="O239" s="24" t="str">
        <x:v>Présent</x:v>
      </x:c>
      <x:c r="P239" s="24" t="str">
        <x:v>Présent</x:v>
      </x:c>
      <x:c r="Q239" s="24" t="str">
        <x:v>Atlas</x:v>
      </x:c>
      <x:c r="R239" s="24" t="str">
        <x:v>Atlas</x:v>
      </x:c>
      <x:c r="S239" s="24" t="str">
        <x:v>Atlas</x:v>
      </x:c>
      <x:c r="T239" s="24" t="str">
        <x:v>Atlas</x:v>
      </x:c>
      <x:c r="U239" s="24" t="str">
        <x:v>Atlas</x:v>
      </x:c>
      <x:c r="V239" s="24" t="str">
        <x:v>Atlas</x:v>
      </x:c>
      <x:c r="W239" s="24" t="str">
        <x:v>6/6 actuelles</x:v>
      </x:c>
      <x:c r="X239" s="24" t="str">
        <x:v>6/6 actuelles</x:v>
      </x:c>
      <x:c r="Y239" s="24" t="str">
        <x:v>Non consignée</x:v>
      </x:c>
      <x:c r="Z239" s="24" t="str">
        <x:v>Périmée (0/6)</x:v>
      </x:c>
      <x:c r="AA239" s="23" t="str">
        <x:v>QA actuelle. Accord non consigné ou périmé. Publication non consignée ou périmée.</x:v>
      </x:c>
      <x:c r="AB239" s="21" t="str">
        <x:v>b17117db72da867328bfee7e7b5ac7c17acc0aab</x:v>
      </x:c>
      <x:c r="AC239" s="21" t="str">
        <x:v>En cours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Lot 11</x:v>
      </x:c>
      <x:c r="E240" s="25" t="str">
        <x:v>Nature</x:v>
      </x:c>
      <x:c r="F240" s="24" t="str">
        <x:f>IF(AND(G240=8,COUNTIF(Q240:V240,"Atlas")=6),"Intégré","À faire")</x:f>
        <x:v>Intégré</x:v>
      </x:c>
      <x:c r="G240" s="27" t="n">
        <x:f>COUNTIF(I240:P240,"Présent")</x:f>
        <x:v>8</x:v>
      </x:c>
      <x:c r="H240" s="24" t="str">
        <x:v>Archivé Drive</x:v>
      </x:c>
      <x:c r="I240" s="24" t="str">
        <x:v>Présent</x:v>
      </x:c>
      <x:c r="J240" s="24" t="str">
        <x:v>Présent</x:v>
      </x:c>
      <x:c r="K240" s="24" t="str">
        <x:v>Présent</x:v>
      </x:c>
      <x:c r="L240" s="24" t="str">
        <x:v>Présent</x:v>
      </x:c>
      <x:c r="M240" s="24" t="str">
        <x:v>Présent</x:v>
      </x:c>
      <x:c r="N240" s="24" t="str">
        <x:v>Présent</x:v>
      </x:c>
      <x:c r="O240" s="24" t="str">
        <x:v>Présent</x:v>
      </x:c>
      <x:c r="P240" s="24" t="str">
        <x:v>Présent</x:v>
      </x:c>
      <x:c r="Q240" s="24" t="str">
        <x:v>Atlas</x:v>
      </x:c>
      <x:c r="R240" s="24" t="str">
        <x:v>Atlas</x:v>
      </x:c>
      <x:c r="S240" s="24" t="str">
        <x:v>Atlas</x:v>
      </x:c>
      <x:c r="T240" s="24" t="str">
        <x:v>Atlas</x:v>
      </x:c>
      <x:c r="U240" s="24" t="str">
        <x:v>Atlas</x:v>
      </x:c>
      <x:c r="V240" s="24" t="str">
        <x:v>Atlas</x:v>
      </x:c>
      <x:c r="W240" s="24" t="str">
        <x:v>6/6 actuelles</x:v>
      </x:c>
      <x:c r="X240" s="24" t="str">
        <x:v>6/6 actuelles</x:v>
      </x:c>
      <x:c r="Y240" s="24" t="str">
        <x:v>Non consignée</x:v>
      </x:c>
      <x:c r="Z240" s="24" t="str">
        <x:v>Périmée (0/6)</x:v>
      </x:c>
      <x:c r="AA240" s="23" t="str">
        <x:v>QA actuelle. Accord non consigné ou périmé. Publication non consignée ou périmée.</x:v>
      </x:c>
      <x:c r="AB240" s="21" t="str">
        <x:v>34209f968444db816f75779cd5b876df002ae9d3</x:v>
      </x:c>
      <x:c r="AC240" s="21" t="str">
        <x:v>En cours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Lot 13</x:v>
      </x:c>
      <x:c r="E241" s="25" t="str">
        <x:v>Nature</x:v>
      </x:c>
      <x:c r="F241" s="24" t="str">
        <x:f>IF(AND(G241=8,COUNTIF(Q241:V241,"Atlas")=6),"Intégré","À faire")</x:f>
        <x:v>Intégré</x:v>
      </x:c>
      <x:c r="G241" s="27" t="n">
        <x:f>COUNTIF(I241:P241,"Présent")</x:f>
        <x:v>8</x:v>
      </x:c>
      <x:c r="H241" s="24" t="str">
        <x:v>Archivé Drive</x:v>
      </x:c>
      <x:c r="I241" s="24" t="str">
        <x:v>Présent</x:v>
      </x:c>
      <x:c r="J241" s="24" t="str">
        <x:v>Présent</x:v>
      </x:c>
      <x:c r="K241" s="24" t="str">
        <x:v>Présent</x:v>
      </x:c>
      <x:c r="L241" s="24" t="str">
        <x:v>Présent</x:v>
      </x:c>
      <x:c r="M241" s="24" t="str">
        <x:v>Présent</x:v>
      </x:c>
      <x:c r="N241" s="24" t="str">
        <x:v>Présent</x:v>
      </x:c>
      <x:c r="O241" s="24" t="str">
        <x:v>Présent</x:v>
      </x:c>
      <x:c r="P241" s="24" t="str">
        <x:v>Présent</x:v>
      </x:c>
      <x:c r="Q241" s="24" t="str">
        <x:v>Atlas</x:v>
      </x:c>
      <x:c r="R241" s="24" t="str">
        <x:v>Atlas</x:v>
      </x:c>
      <x:c r="S241" s="24" t="str">
        <x:v>Atlas</x:v>
      </x:c>
      <x:c r="T241" s="24" t="str">
        <x:v>Atlas</x:v>
      </x:c>
      <x:c r="U241" s="24" t="str">
        <x:v>Atlas</x:v>
      </x:c>
      <x:c r="V241" s="24" t="str">
        <x:v>Atlas</x:v>
      </x:c>
      <x:c r="W241" s="24" t="str">
        <x:v>6/6 actuelles</x:v>
      </x:c>
      <x:c r="X241" s="24" t="str">
        <x:v>6/6 actuelles</x:v>
      </x:c>
      <x:c r="Y241" s="24" t="str">
        <x:v>Non consignée</x:v>
      </x:c>
      <x:c r="Z241" s="24" t="str">
        <x:v>Périmée (0/6)</x:v>
      </x:c>
      <x:c r="AA241" s="23" t="str">
        <x:v>QA actuelle. Accord non consigné ou périmé. Publication non consignée ou périmée.</x:v>
      </x:c>
      <x:c r="AB241" s="21" t="str">
        <x:v>e03821783020a61aeaaa58d22886e2118781efaa</x:v>
      </x:c>
      <x:c r="AC241" s="21" t="str">
        <x:v>En cours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Lot 13</x:v>
      </x:c>
      <x:c r="E242" s="25" t="str">
        <x:v>Actions</x:v>
      </x:c>
      <x:c r="F242" s="24" t="str">
        <x:f>IF(AND(G242=8,COUNTIF(Q242:V242,"Atlas")=6),"Intégré","À faire")</x:f>
        <x:v>Intégré</x:v>
      </x:c>
      <x:c r="G242" s="27" t="n">
        <x:f>COUNTIF(I242:P242,"Présent")</x:f>
        <x:v>8</x:v>
      </x:c>
      <x:c r="H242" s="24" t="str">
        <x:v>Archivé Drive</x:v>
      </x:c>
      <x:c r="I242" s="24" t="str">
        <x:v>Présent</x:v>
      </x:c>
      <x:c r="J242" s="24" t="str">
        <x:v>Présent</x:v>
      </x:c>
      <x:c r="K242" s="24" t="str">
        <x:v>Présent</x:v>
      </x:c>
      <x:c r="L242" s="24" t="str">
        <x:v>Présent</x:v>
      </x:c>
      <x:c r="M242" s="24" t="str">
        <x:v>Présent</x:v>
      </x:c>
      <x:c r="N242" s="24" t="str">
        <x:v>Présent</x:v>
      </x:c>
      <x:c r="O242" s="24" t="str">
        <x:v>Présent</x:v>
      </x:c>
      <x:c r="P242" s="24" t="str">
        <x:v>Présent</x:v>
      </x:c>
      <x:c r="Q242" s="24" t="str">
        <x:v>Atlas</x:v>
      </x:c>
      <x:c r="R242" s="24" t="str">
        <x:v>Atlas</x:v>
      </x:c>
      <x:c r="S242" s="24" t="str">
        <x:v>Atlas</x:v>
      </x:c>
      <x:c r="T242" s="24" t="str">
        <x:v>Atlas</x:v>
      </x:c>
      <x:c r="U242" s="24" t="str">
        <x:v>Atlas</x:v>
      </x:c>
      <x:c r="V242" s="24" t="str">
        <x:v>Atlas</x:v>
      </x:c>
      <x:c r="W242" s="24" t="str">
        <x:v>6/6 actuelles</x:v>
      </x:c>
      <x:c r="X242" s="24" t="str">
        <x:v>6/6 actuelles</x:v>
      </x:c>
      <x:c r="Y242" s="24" t="str">
        <x:v>Non consignée</x:v>
      </x:c>
      <x:c r="Z242" s="24" t="str">
        <x:v>Périmée (0/6)</x:v>
      </x:c>
      <x:c r="AA242" s="23" t="str">
        <x:v>QA actuelle. Accord non consigné ou périmé. Publication non consignée ou périmée.</x:v>
      </x:c>
      <x:c r="AB242" s="21" t="str">
        <x:v>e03821783020a61aeaaa58d22886e2118781efaa</x:v>
      </x:c>
      <x:c r="AC242" s="21" t="str">
        <x:v>En cours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Lot 12</x:v>
      </x:c>
      <x:c r="E243" s="25" t="str">
        <x:v>Animaux</x:v>
      </x:c>
      <x:c r="F243" s="24" t="str">
        <x:f>IF(AND(G243=8,COUNTIF(Q243:V243,"Atlas")=6),"Intégré","À faire")</x:f>
        <x:v>Intégré</x:v>
      </x:c>
      <x:c r="G243" s="27" t="n">
        <x:f>COUNTIF(I243:P243,"Présent")</x:f>
        <x:v>8</x:v>
      </x:c>
      <x:c r="H243" s="24" t="str">
        <x:v>Archivé Drive</x:v>
      </x:c>
      <x:c r="I243" s="24" t="str">
        <x:v>Présent</x:v>
      </x:c>
      <x:c r="J243" s="24" t="str">
        <x:v>Présent</x:v>
      </x:c>
      <x:c r="K243" s="24" t="str">
        <x:v>Présent</x:v>
      </x:c>
      <x:c r="L243" s="24" t="str">
        <x:v>Présent</x:v>
      </x:c>
      <x:c r="M243" s="24" t="str">
        <x:v>Présent</x:v>
      </x:c>
      <x:c r="N243" s="24" t="str">
        <x:v>Présent</x:v>
      </x:c>
      <x:c r="O243" s="24" t="str">
        <x:v>Présent</x:v>
      </x:c>
      <x:c r="P243" s="24" t="str">
        <x:v>Présent</x:v>
      </x:c>
      <x:c r="Q243" s="24" t="str">
        <x:v>Atlas</x:v>
      </x:c>
      <x:c r="R243" s="24" t="str">
        <x:v>Atlas</x:v>
      </x:c>
      <x:c r="S243" s="24" t="str">
        <x:v>Atlas</x:v>
      </x:c>
      <x:c r="T243" s="24" t="str">
        <x:v>Atlas</x:v>
      </x:c>
      <x:c r="U243" s="24" t="str">
        <x:v>Atlas</x:v>
      </x:c>
      <x:c r="V243" s="24" t="str">
        <x:v>Atlas</x:v>
      </x:c>
      <x:c r="W243" s="24" t="str">
        <x:v>6/6 actuelles</x:v>
      </x:c>
      <x:c r="X243" s="24" t="str">
        <x:v>6/6 actuelles</x:v>
      </x:c>
      <x:c r="Y243" s="24" t="str">
        <x:v>Non consignée</x:v>
      </x:c>
      <x:c r="Z243" s="24" t="str">
        <x:v>Périmée (0/6)</x:v>
      </x:c>
      <x:c r="AA243" s="23" t="str">
        <x:v>QA actuelle. Accord non consigné ou périmé. Publication non consignée ou périmée.</x:v>
      </x:c>
      <x:c r="AB243" s="21" t="str">
        <x:v>b17117db72da867328bfee7e7b5ac7c17acc0aab</x:v>
      </x:c>
      <x:c r="AC243" s="21" t="str">
        <x:v>En cours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QA actuelle. Accord non consigné ou périmé. Publication non consignée ou périmée.</x:v>
      </x:c>
      <x:c r="AB244" s="21" t="str">
        <x:v>34209f968444db816f75779cd5b876df002ae9d3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QA actuelle. Accord non consigné ou périmé. Publication non consignée ou périmée.</x:v>
      </x:c>
      <x:c r="AB245" s="21" t="str">
        <x:v>34209f968444db816f75779cd5b876df002ae9d3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Lot 12</x:v>
      </x:c>
      <x:c r="E246" s="25" t="str">
        <x:v>Animaux</x:v>
      </x:c>
      <x:c r="F246" s="24" t="str">
        <x:f>IF(AND(G246=8,COUNTIF(Q246:V246,"Atlas")=6),"Intégré","À faire")</x:f>
        <x:v>Intégré</x:v>
      </x:c>
      <x:c r="G246" s="27" t="n">
        <x:f>COUNTIF(I246:P246,"Présent")</x:f>
        <x:v>8</x:v>
      </x:c>
      <x:c r="H246" s="24" t="str">
        <x:v>Archivé Drive</x:v>
      </x:c>
      <x:c r="I246" s="24" t="str">
        <x:v>Présent</x:v>
      </x:c>
      <x:c r="J246" s="24" t="str">
        <x:v>Présent</x:v>
      </x:c>
      <x:c r="K246" s="24" t="str">
        <x:v>Présent</x:v>
      </x:c>
      <x:c r="L246" s="24" t="str">
        <x:v>Présent</x:v>
      </x:c>
      <x:c r="M246" s="24" t="str">
        <x:v>Présent</x:v>
      </x:c>
      <x:c r="N246" s="24" t="str">
        <x:v>Présent</x:v>
      </x:c>
      <x:c r="O246" s="24" t="str">
        <x:v>Présent</x:v>
      </x:c>
      <x:c r="P246" s="24" t="str">
        <x:v>Présent</x:v>
      </x:c>
      <x:c r="Q246" s="24" t="str">
        <x:v>Atlas</x:v>
      </x:c>
      <x:c r="R246" s="24" t="str">
        <x:v>Atlas</x:v>
      </x:c>
      <x:c r="S246" s="24" t="str">
        <x:v>Atlas</x:v>
      </x:c>
      <x:c r="T246" s="24" t="str">
        <x:v>Atlas</x:v>
      </x:c>
      <x:c r="U246" s="24" t="str">
        <x:v>Atlas</x:v>
      </x:c>
      <x:c r="V246" s="24" t="str">
        <x:v>Atlas</x:v>
      </x:c>
      <x:c r="W246" s="24" t="str">
        <x:v>6/6 actuelles</x:v>
      </x:c>
      <x:c r="X246" s="24" t="str">
        <x:v>6/6 actuelles</x:v>
      </x:c>
      <x:c r="Y246" s="24" t="str">
        <x:v>Non consignée</x:v>
      </x:c>
      <x:c r="Z246" s="24" t="str">
        <x:v>Périmée (0/6)</x:v>
      </x:c>
      <x:c r="AA246" s="23" t="str">
        <x:v>QA actuelle. Accord non consigné ou périmé. Publication non consignée ou périmée.</x:v>
      </x:c>
      <x:c r="AB246" s="21" t="str">
        <x:v>b17117db72da867328bfee7e7b5ac7c17acc0aab</x:v>
      </x:c>
      <x:c r="AC246" s="21" t="str">
        <x:v>En cours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Lot 12 (master)</x:v>
      </x:c>
      <x:c r="E247" s="25" t="str">
        <x:v>Nature</x:v>
      </x:c>
      <x:c r="F247" s="24" t="str">
        <x:f>IF(AND(G247=8,COUNTIF(Q247:V247,"Atlas")=6),"Intégré","À faire")</x:f>
        <x:v>Intégré</x:v>
      </x:c>
      <x:c r="G247" s="27" t="n">
        <x:f>COUNTIF(I247:P247,"Présent")</x:f>
        <x:v>8</x:v>
      </x:c>
      <x:c r="H247" s="24" t="str">
        <x:v>Réutilisé master #509</x:v>
      </x:c>
      <x:c r="I247" s="24" t="str">
        <x:v>Présent</x:v>
      </x:c>
      <x:c r="J247" s="24" t="str">
        <x:v>Présent</x:v>
      </x:c>
      <x:c r="K247" s="24" t="str">
        <x:v>Présent</x:v>
      </x:c>
      <x:c r="L247" s="24" t="str">
        <x:v>Présent</x:v>
      </x:c>
      <x:c r="M247" s="24" t="str">
        <x:v>Présent</x:v>
      </x:c>
      <x:c r="N247" s="24" t="str">
        <x:v>Présent</x:v>
      </x:c>
      <x:c r="O247" s="24" t="str">
        <x:v>Présent</x:v>
      </x:c>
      <x:c r="P247" s="24" t="str">
        <x:v>Présent</x:v>
      </x:c>
      <x:c r="Q247" s="24" t="str">
        <x:v>Atlas</x:v>
      </x:c>
      <x:c r="R247" s="24" t="str">
        <x:v>Atlas</x:v>
      </x:c>
      <x:c r="S247" s="24" t="str">
        <x:v>Atlas</x:v>
      </x:c>
      <x:c r="T247" s="24" t="str">
        <x:v>Atlas</x:v>
      </x:c>
      <x:c r="U247" s="24" t="str">
        <x:v>Atlas</x:v>
      </x:c>
      <x:c r="V247" s="24" t="str">
        <x:v>Atlas</x:v>
      </x:c>
      <x:c r="W247" s="24" t="str">
        <x:v>6/6 actuelles</x:v>
      </x:c>
      <x:c r="X247" s="24" t="str">
        <x:v>6/6 actuelles</x:v>
      </x:c>
      <x:c r="Y247" s="24" t="str">
        <x:v>Non consignée</x:v>
      </x:c>
      <x:c r="Z247" s="24" t="str">
        <x:v>Périmée (0/6)</x:v>
      </x:c>
      <x:c r="AA247" s="23" t="str">
        <x:v>QA actuelle. Accord non consigné ou périmé. Publication non consignée ou périmée.</x:v>
      </x:c>
      <x:c r="AB247" s="21" t="str">
        <x:v>34209f968444db816f75779cd5b876df002ae9d3</x:v>
      </x:c>
      <x:c r="AC247" s="21" t="str">
        <x:v>En cours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Lot 13</x:v>
      </x:c>
      <x:c r="E248" s="25" t="str">
        <x:v>Corps</x:v>
      </x:c>
      <x:c r="F248" s="24" t="str">
        <x:f>IF(AND(G248=8,COUNTIF(Q248:V248,"Atlas")=6),"Intégré","À faire")</x:f>
        <x:v>Intégré</x:v>
      </x:c>
      <x:c r="G248" s="27" t="n">
        <x:f>COUNTIF(I248:P248,"Présent")</x:f>
        <x:v>8</x:v>
      </x:c>
      <x:c r="H248" s="24" t="str">
        <x:v>Archivé Drive</x:v>
      </x:c>
      <x:c r="I248" s="24" t="str">
        <x:v>Présent</x:v>
      </x:c>
      <x:c r="J248" s="24" t="str">
        <x:v>Présent</x:v>
      </x:c>
      <x:c r="K248" s="24" t="str">
        <x:v>Présent</x:v>
      </x:c>
      <x:c r="L248" s="24" t="str">
        <x:v>Présent</x:v>
      </x:c>
      <x:c r="M248" s="24" t="str">
        <x:v>Présent</x:v>
      </x:c>
      <x:c r="N248" s="24" t="str">
        <x:v>Présent</x:v>
      </x:c>
      <x:c r="O248" s="24" t="str">
        <x:v>Présent</x:v>
      </x:c>
      <x:c r="P248" s="24" t="str">
        <x:v>Présent</x:v>
      </x:c>
      <x:c r="Q248" s="24" t="str">
        <x:v>Atlas</x:v>
      </x:c>
      <x:c r="R248" s="24" t="str">
        <x:v>Atlas</x:v>
      </x:c>
      <x:c r="S248" s="24" t="str">
        <x:v>Atlas</x:v>
      </x:c>
      <x:c r="T248" s="24" t="str">
        <x:v>Atlas</x:v>
      </x:c>
      <x:c r="U248" s="24" t="str">
        <x:v>Atlas</x:v>
      </x:c>
      <x:c r="V248" s="24" t="str">
        <x:v>Atlas</x:v>
      </x:c>
      <x:c r="W248" s="24" t="str">
        <x:v>6/6 actuelles</x:v>
      </x:c>
      <x:c r="X248" s="24" t="str">
        <x:v>6/6 actuelles</x:v>
      </x:c>
      <x:c r="Y248" s="24" t="str">
        <x:v>Non consignée</x:v>
      </x:c>
      <x:c r="Z248" s="24" t="str">
        <x:v>Périmée (0/6)</x:v>
      </x:c>
      <x:c r="AA248" s="23" t="str">
        <x:v>QA actuelle. Accord non consigné ou périmé. Publication non consignée ou périmée.</x:v>
      </x:c>
      <x:c r="AB248" s="21" t="str">
        <x:v>e03821783020a61aeaaa58d22886e2118781efaa</x:v>
      </x:c>
      <x:c r="AC248" s="21" t="str">
        <x:v>En cours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Lot 11</x:v>
      </x:c>
      <x:c r="E249" s="25" t="str">
        <x:v>Corps</x:v>
      </x:c>
      <x:c r="F249" s="24" t="str">
        <x:f>IF(AND(G249=8,COUNTIF(Q249:V249,"Atlas")=6),"Intégré","À faire")</x:f>
        <x:v>Intégré</x:v>
      </x:c>
      <x:c r="G249" s="27" t="n">
        <x:f>COUNTIF(I249:P249,"Présent")</x:f>
        <x:v>8</x:v>
      </x:c>
      <x:c r="H249" s="24" t="str">
        <x:v>Archivé Drive</x:v>
      </x:c>
      <x:c r="I249" s="24" t="str">
        <x:v>Présent</x:v>
      </x:c>
      <x:c r="J249" s="24" t="str">
        <x:v>Présent</x:v>
      </x:c>
      <x:c r="K249" s="24" t="str">
        <x:v>Présent</x:v>
      </x:c>
      <x:c r="L249" s="24" t="str">
        <x:v>Présent</x:v>
      </x:c>
      <x:c r="M249" s="24" t="str">
        <x:v>Présent</x:v>
      </x:c>
      <x:c r="N249" s="24" t="str">
        <x:v>Présent</x:v>
      </x:c>
      <x:c r="O249" s="24" t="str">
        <x:v>Présent</x:v>
      </x:c>
      <x:c r="P249" s="24" t="str">
        <x:v>Présent</x:v>
      </x:c>
      <x:c r="Q249" s="24" t="str">
        <x:v>Atlas</x:v>
      </x:c>
      <x:c r="R249" s="24" t="str">
        <x:v>Atlas</x:v>
      </x:c>
      <x:c r="S249" s="24" t="str">
        <x:v>Atlas</x:v>
      </x:c>
      <x:c r="T249" s="24" t="str">
        <x:v>Atlas</x:v>
      </x:c>
      <x:c r="U249" s="24" t="str">
        <x:v>Atlas</x:v>
      </x:c>
      <x:c r="V249" s="24" t="str">
        <x:v>Atlas</x:v>
      </x:c>
      <x:c r="W249" s="24" t="str">
        <x:v>6/6 actuelles</x:v>
      </x:c>
      <x:c r="X249" s="24" t="str">
        <x:v>6/6 actuelles</x:v>
      </x:c>
      <x:c r="Y249" s="24" t="str">
        <x:v>Non consignée</x:v>
      </x:c>
      <x:c r="Z249" s="24" t="str">
        <x:v>Périmée (0/6)</x:v>
      </x:c>
      <x:c r="AA249" s="23" t="str">
        <x:v>QA actuelle. Accord non consigné ou périmé. Publication non consignée ou périmée.</x:v>
      </x:c>
      <x:c r="AB249" s="21" t="str">
        <x:v>34209f968444db816f75779cd5b876df002ae9d3</x:v>
      </x:c>
      <x:c r="AC249" s="21" t="str">
        <x:v>En cours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Lot 11</x:v>
      </x:c>
      <x:c r="E250" s="25" t="str">
        <x:v>Personnes</x:v>
      </x:c>
      <x:c r="F250" s="24" t="str">
        <x:f>IF(AND(G250=8,COUNTIF(Q250:V250,"Atlas")=6),"Intégré","À faire")</x:f>
        <x:v>Intégré</x:v>
      </x:c>
      <x:c r="G250" s="27" t="n">
        <x:f>COUNTIF(I250:P250,"Présent")</x:f>
        <x:v>8</x:v>
      </x:c>
      <x:c r="H250" s="24" t="str">
        <x:v>Archivé Drive</x:v>
      </x:c>
      <x:c r="I250" s="24" t="str">
        <x:v>Présent</x:v>
      </x:c>
      <x:c r="J250" s="24" t="str">
        <x:v>Présent</x:v>
      </x:c>
      <x:c r="K250" s="24" t="str">
        <x:v>Présent</x:v>
      </x:c>
      <x:c r="L250" s="24" t="str">
        <x:v>Présent</x:v>
      </x:c>
      <x:c r="M250" s="24" t="str">
        <x:v>Présent</x:v>
      </x:c>
      <x:c r="N250" s="24" t="str">
        <x:v>Présent</x:v>
      </x:c>
      <x:c r="O250" s="24" t="str">
        <x:v>Présent</x:v>
      </x:c>
      <x:c r="P250" s="24" t="str">
        <x:v>Présent</x:v>
      </x:c>
      <x:c r="Q250" s="24" t="str">
        <x:v>Atlas</x:v>
      </x:c>
      <x:c r="R250" s="24" t="str">
        <x:v>Atlas</x:v>
      </x:c>
      <x:c r="S250" s="24" t="str">
        <x:v>Atlas</x:v>
      </x:c>
      <x:c r="T250" s="24" t="str">
        <x:v>Atlas</x:v>
      </x:c>
      <x:c r="U250" s="24" t="str">
        <x:v>Atlas</x:v>
      </x:c>
      <x:c r="V250" s="24" t="str">
        <x:v>Atlas</x:v>
      </x:c>
      <x:c r="W250" s="24" t="str">
        <x:v>6/6 actuelles</x:v>
      </x:c>
      <x:c r="X250" s="24" t="str">
        <x:v>6/6 actuelles</x:v>
      </x:c>
      <x:c r="Y250" s="24" t="str">
        <x:v>Non consignée</x:v>
      </x:c>
      <x:c r="Z250" s="24" t="str">
        <x:v>Périmée (0/6)</x:v>
      </x:c>
      <x:c r="AA250" s="23" t="str">
        <x:v>QA actuelle. Accord non consigné ou périmé. Publication non consignée ou périmée.</x:v>
      </x:c>
      <x:c r="AB250" s="21" t="str">
        <x:v>34209f968444db816f75779cd5b876df002ae9d3</x:v>
      </x:c>
      <x:c r="AC250" s="21" t="str">
        <x:v>En cours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a56d21d265e4fa6"/>
  </x:tableParts>
</x:worksheet>
</file>